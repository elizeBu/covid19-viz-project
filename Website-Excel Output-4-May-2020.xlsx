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.xml" ContentType="application/vnd.openxmlformats-officedocument.themeOverride+xml"/>
  <Override PartName="/xl/drawings/drawing17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2.xml" ContentType="application/vnd.openxmlformats-officedocument.themeOverride+xml"/>
  <Override PartName="/xl/drawings/drawing1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agaviation.sharepoint.com/sites/a_Luton_Marketing/Shared Documents/CONTENT/COVID19/Tracking Charts/040520/"/>
    </mc:Choice>
  </mc:AlternateContent>
  <xr:revisionPtr revIDLastSave="0" documentId="8_{092D0F94-B6D9-459A-BAF2-B899BE72CE1A}" xr6:coauthVersionLast="44" xr6:coauthVersionMax="45" xr10:uidLastSave="{00000000-0000-0000-0000-000000000000}"/>
  <bookViews>
    <workbookView xWindow="-110" yWindow="-110" windowWidth="19420" windowHeight="10420" xr2:uid="{946B487A-ECC2-4131-80E2-1B74980F8DDF}"/>
  </bookViews>
  <sheets>
    <sheet name="Summary Table" sheetId="2" r:id="rId1"/>
    <sheet name="Charts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8" i="1" l="1"/>
  <c r="S88" i="1"/>
  <c r="R88" i="1"/>
  <c r="Q88" i="1"/>
  <c r="P88" i="1"/>
  <c r="O88" i="1"/>
  <c r="N88" i="1"/>
  <c r="M88" i="1"/>
  <c r="M89" i="1" s="1"/>
  <c r="L88" i="1"/>
  <c r="K88" i="1"/>
  <c r="J88" i="1"/>
  <c r="I88" i="1"/>
  <c r="I89" i="1" s="1"/>
  <c r="H88" i="1"/>
  <c r="G88" i="1"/>
  <c r="F88" i="1"/>
  <c r="E88" i="1"/>
  <c r="E89" i="1" s="1"/>
  <c r="D88" i="1"/>
  <c r="C88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T83" i="1"/>
  <c r="S83" i="1"/>
  <c r="S84" i="1" s="1"/>
  <c r="R83" i="1"/>
  <c r="Q83" i="1"/>
  <c r="P83" i="1"/>
  <c r="O83" i="1"/>
  <c r="N83" i="1"/>
  <c r="M83" i="1"/>
  <c r="L83" i="1"/>
  <c r="K83" i="1"/>
  <c r="K84" i="1" s="1"/>
  <c r="J83" i="1"/>
  <c r="I83" i="1"/>
  <c r="H83" i="1"/>
  <c r="G83" i="1"/>
  <c r="F83" i="1"/>
  <c r="E83" i="1"/>
  <c r="D83" i="1"/>
  <c r="C83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T78" i="1"/>
  <c r="S78" i="1"/>
  <c r="S79" i="1" s="1"/>
  <c r="R78" i="1"/>
  <c r="R79" i="1" s="1"/>
  <c r="Q78" i="1"/>
  <c r="P78" i="1"/>
  <c r="O78" i="1"/>
  <c r="O79" i="1" s="1"/>
  <c r="N78" i="1"/>
  <c r="M78" i="1"/>
  <c r="L78" i="1"/>
  <c r="K78" i="1"/>
  <c r="K79" i="1" s="1"/>
  <c r="J78" i="1"/>
  <c r="I78" i="1"/>
  <c r="H78" i="1"/>
  <c r="G78" i="1"/>
  <c r="G79" i="1" s="1"/>
  <c r="F78" i="1"/>
  <c r="E78" i="1"/>
  <c r="D78" i="1"/>
  <c r="C78" i="1"/>
  <c r="C79" i="1" s="1"/>
  <c r="T77" i="1"/>
  <c r="S77" i="1"/>
  <c r="R77" i="1"/>
  <c r="Q77" i="1"/>
  <c r="P77" i="1"/>
  <c r="P79" i="1" s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T68" i="1"/>
  <c r="T69" i="1" s="1"/>
  <c r="S68" i="1"/>
  <c r="S69" i="1" s="1"/>
  <c r="R68" i="1"/>
  <c r="Q68" i="1"/>
  <c r="P68" i="1"/>
  <c r="O68" i="1"/>
  <c r="N68" i="1"/>
  <c r="M68" i="1"/>
  <c r="L68" i="1"/>
  <c r="L69" i="1" s="1"/>
  <c r="K68" i="1"/>
  <c r="K69" i="1" s="1"/>
  <c r="J68" i="1"/>
  <c r="I68" i="1"/>
  <c r="H68" i="1"/>
  <c r="G68" i="1"/>
  <c r="F68" i="1"/>
  <c r="E68" i="1"/>
  <c r="D68" i="1"/>
  <c r="D69" i="1" s="1"/>
  <c r="C68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T62" i="1"/>
  <c r="S62" i="1"/>
  <c r="R62" i="1"/>
  <c r="Q62" i="1"/>
  <c r="P62" i="1"/>
  <c r="P64" i="1" s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T57" i="1"/>
  <c r="S57" i="1"/>
  <c r="R57" i="1"/>
  <c r="Q57" i="1"/>
  <c r="P57" i="1"/>
  <c r="O57" i="1"/>
  <c r="N57" i="1"/>
  <c r="M57" i="1"/>
  <c r="L57" i="1"/>
  <c r="K57" i="1"/>
  <c r="K59" i="1" s="1"/>
  <c r="J57" i="1"/>
  <c r="I57" i="1"/>
  <c r="H57" i="1"/>
  <c r="G57" i="1"/>
  <c r="F57" i="1"/>
  <c r="E57" i="1"/>
  <c r="D57" i="1"/>
  <c r="C57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T53" i="1"/>
  <c r="S53" i="1"/>
  <c r="S54" i="1" s="1"/>
  <c r="R53" i="1"/>
  <c r="R54" i="1" s="1"/>
  <c r="Q53" i="1"/>
  <c r="P53" i="1"/>
  <c r="O53" i="1"/>
  <c r="N53" i="1"/>
  <c r="N54" i="1" s="1"/>
  <c r="M53" i="1"/>
  <c r="L53" i="1"/>
  <c r="K53" i="1"/>
  <c r="K54" i="1" s="1"/>
  <c r="J53" i="1"/>
  <c r="J54" i="1" s="1"/>
  <c r="I53" i="1"/>
  <c r="H53" i="1"/>
  <c r="G53" i="1"/>
  <c r="F53" i="1"/>
  <c r="F54" i="1" s="1"/>
  <c r="E53" i="1"/>
  <c r="D53" i="1"/>
  <c r="C53" i="1"/>
  <c r="C54" i="1" s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H54" i="1" s="1"/>
  <c r="G52" i="1"/>
  <c r="F52" i="1"/>
  <c r="E52" i="1"/>
  <c r="D52" i="1"/>
  <c r="C52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P49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T43" i="1"/>
  <c r="T44" i="1" s="1"/>
  <c r="S43" i="1"/>
  <c r="S44" i="1" s="1"/>
  <c r="R43" i="1"/>
  <c r="Q43" i="1"/>
  <c r="P43" i="1"/>
  <c r="P44" i="1" s="1"/>
  <c r="O43" i="1"/>
  <c r="N43" i="1"/>
  <c r="M43" i="1"/>
  <c r="L43" i="1"/>
  <c r="L44" i="1" s="1"/>
  <c r="K43" i="1"/>
  <c r="K44" i="1" s="1"/>
  <c r="J43" i="1"/>
  <c r="I43" i="1"/>
  <c r="H43" i="1"/>
  <c r="H44" i="1" s="1"/>
  <c r="G43" i="1"/>
  <c r="F43" i="1"/>
  <c r="E43" i="1"/>
  <c r="D43" i="1"/>
  <c r="D44" i="1" s="1"/>
  <c r="C43" i="1"/>
  <c r="C44" i="1" s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T38" i="1"/>
  <c r="S38" i="1"/>
  <c r="R38" i="1"/>
  <c r="R39" i="1" s="1"/>
  <c r="Q38" i="1"/>
  <c r="Q39" i="1" s="1"/>
  <c r="P38" i="1"/>
  <c r="O38" i="1"/>
  <c r="N38" i="1"/>
  <c r="N39" i="1" s="1"/>
  <c r="M38" i="1"/>
  <c r="M39" i="1" s="1"/>
  <c r="L38" i="1"/>
  <c r="K38" i="1"/>
  <c r="J38" i="1"/>
  <c r="J39" i="1" s="1"/>
  <c r="I38" i="1"/>
  <c r="I39" i="1" s="1"/>
  <c r="H38" i="1"/>
  <c r="G38" i="1"/>
  <c r="F38" i="1"/>
  <c r="F39" i="1" s="1"/>
  <c r="E38" i="1"/>
  <c r="E39" i="1" s="1"/>
  <c r="D38" i="1"/>
  <c r="C38" i="1"/>
  <c r="T37" i="1"/>
  <c r="S37" i="1"/>
  <c r="R37" i="1"/>
  <c r="Q37" i="1"/>
  <c r="P37" i="1"/>
  <c r="O37" i="1"/>
  <c r="O39" i="1" s="1"/>
  <c r="N37" i="1"/>
  <c r="M37" i="1"/>
  <c r="L37" i="1"/>
  <c r="K37" i="1"/>
  <c r="J37" i="1"/>
  <c r="I37" i="1"/>
  <c r="H37" i="1"/>
  <c r="H39" i="1" s="1"/>
  <c r="G37" i="1"/>
  <c r="G39" i="1" s="1"/>
  <c r="F37" i="1"/>
  <c r="E37" i="1"/>
  <c r="D37" i="1"/>
  <c r="C37" i="1"/>
  <c r="C39" i="1" s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T33" i="1"/>
  <c r="T34" i="1" s="1"/>
  <c r="S33" i="1"/>
  <c r="R33" i="1"/>
  <c r="Q33" i="1"/>
  <c r="P33" i="1"/>
  <c r="P34" i="1" s="1"/>
  <c r="O33" i="1"/>
  <c r="N33" i="1"/>
  <c r="M33" i="1"/>
  <c r="L33" i="1"/>
  <c r="L34" i="1" s="1"/>
  <c r="K33" i="1"/>
  <c r="K34" i="1" s="1"/>
  <c r="J33" i="1"/>
  <c r="I33" i="1"/>
  <c r="H33" i="1"/>
  <c r="H34" i="1" s="1"/>
  <c r="G33" i="1"/>
  <c r="F33" i="1"/>
  <c r="E33" i="1"/>
  <c r="D33" i="1"/>
  <c r="D34" i="1" s="1"/>
  <c r="C33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T28" i="1"/>
  <c r="S28" i="1"/>
  <c r="R28" i="1"/>
  <c r="Q28" i="1"/>
  <c r="Q29" i="1" s="1"/>
  <c r="P28" i="1"/>
  <c r="O28" i="1"/>
  <c r="N28" i="1"/>
  <c r="M28" i="1"/>
  <c r="M29" i="1" s="1"/>
  <c r="L28" i="1"/>
  <c r="K28" i="1"/>
  <c r="J28" i="1"/>
  <c r="I28" i="1"/>
  <c r="I29" i="1" s="1"/>
  <c r="H28" i="1"/>
  <c r="G28" i="1"/>
  <c r="F28" i="1"/>
  <c r="E28" i="1"/>
  <c r="E29" i="1" s="1"/>
  <c r="D28" i="1"/>
  <c r="C28" i="1"/>
  <c r="T27" i="1"/>
  <c r="S27" i="1"/>
  <c r="R27" i="1"/>
  <c r="Q27" i="1"/>
  <c r="P27" i="1"/>
  <c r="O27" i="1"/>
  <c r="O29" i="1" s="1"/>
  <c r="N27" i="1"/>
  <c r="M27" i="1"/>
  <c r="L27" i="1"/>
  <c r="K27" i="1"/>
  <c r="K29" i="1" s="1"/>
  <c r="J27" i="1"/>
  <c r="I27" i="1"/>
  <c r="H27" i="1"/>
  <c r="G27" i="1"/>
  <c r="G29" i="1" s="1"/>
  <c r="F27" i="1"/>
  <c r="E27" i="1"/>
  <c r="D27" i="1"/>
  <c r="C27" i="1"/>
  <c r="C29" i="1" s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H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T18" i="1"/>
  <c r="S18" i="1"/>
  <c r="S19" i="1" s="1"/>
  <c r="R18" i="1"/>
  <c r="Q18" i="1"/>
  <c r="P18" i="1"/>
  <c r="P19" i="1" s="1"/>
  <c r="O18" i="1"/>
  <c r="N18" i="1"/>
  <c r="M18" i="1"/>
  <c r="L18" i="1"/>
  <c r="K18" i="1"/>
  <c r="K19" i="1" s="1"/>
  <c r="J18" i="1"/>
  <c r="I18" i="1"/>
  <c r="H18" i="1"/>
  <c r="G18" i="1"/>
  <c r="F18" i="1"/>
  <c r="E18" i="1"/>
  <c r="D18" i="1"/>
  <c r="C18" i="1"/>
  <c r="C19" i="1" s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T13" i="1"/>
  <c r="S13" i="1"/>
  <c r="S14" i="1" s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N63" i="2"/>
  <c r="M63" i="2"/>
  <c r="L63" i="2"/>
  <c r="K63" i="2"/>
  <c r="J63" i="2"/>
  <c r="I63" i="2"/>
  <c r="H63" i="2"/>
  <c r="G63" i="2"/>
  <c r="F63" i="2"/>
  <c r="E63" i="2"/>
  <c r="D63" i="2"/>
  <c r="C63" i="2"/>
  <c r="N62" i="2"/>
  <c r="M62" i="2"/>
  <c r="L62" i="2"/>
  <c r="K62" i="2"/>
  <c r="J62" i="2"/>
  <c r="I62" i="2"/>
  <c r="H62" i="2"/>
  <c r="G62" i="2"/>
  <c r="F62" i="2"/>
  <c r="E62" i="2"/>
  <c r="D62" i="2"/>
  <c r="C62" i="2"/>
  <c r="N61" i="2"/>
  <c r="M61" i="2"/>
  <c r="L61" i="2"/>
  <c r="K61" i="2"/>
  <c r="J61" i="2"/>
  <c r="I61" i="2"/>
  <c r="H61" i="2"/>
  <c r="G61" i="2"/>
  <c r="F61" i="2"/>
  <c r="E61" i="2"/>
  <c r="D61" i="2"/>
  <c r="C61" i="2"/>
  <c r="N60" i="2"/>
  <c r="M60" i="2"/>
  <c r="L60" i="2"/>
  <c r="K60" i="2"/>
  <c r="J60" i="2"/>
  <c r="I60" i="2"/>
  <c r="H60" i="2"/>
  <c r="G60" i="2"/>
  <c r="F60" i="2"/>
  <c r="E60" i="2"/>
  <c r="D60" i="2"/>
  <c r="C60" i="2"/>
  <c r="N59" i="2"/>
  <c r="M59" i="2"/>
  <c r="L59" i="2"/>
  <c r="K59" i="2"/>
  <c r="J59" i="2"/>
  <c r="I59" i="2"/>
  <c r="H59" i="2"/>
  <c r="G59" i="2"/>
  <c r="F59" i="2"/>
  <c r="E59" i="2"/>
  <c r="D59" i="2"/>
  <c r="C59" i="2"/>
  <c r="N58" i="2"/>
  <c r="M58" i="2"/>
  <c r="L58" i="2"/>
  <c r="K58" i="2"/>
  <c r="J58" i="2"/>
  <c r="I58" i="2"/>
  <c r="H58" i="2"/>
  <c r="G58" i="2"/>
  <c r="F58" i="2"/>
  <c r="E58" i="2"/>
  <c r="D58" i="2"/>
  <c r="C58" i="2"/>
  <c r="N57" i="2"/>
  <c r="M57" i="2"/>
  <c r="L57" i="2"/>
  <c r="K57" i="2"/>
  <c r="J57" i="2"/>
  <c r="I57" i="2"/>
  <c r="H57" i="2"/>
  <c r="G57" i="2"/>
  <c r="F57" i="2"/>
  <c r="E57" i="2"/>
  <c r="D57" i="2"/>
  <c r="C57" i="2"/>
  <c r="N56" i="2"/>
  <c r="M56" i="2"/>
  <c r="L56" i="2"/>
  <c r="K56" i="2"/>
  <c r="J56" i="2"/>
  <c r="I56" i="2"/>
  <c r="H56" i="2"/>
  <c r="G56" i="2"/>
  <c r="F56" i="2"/>
  <c r="E56" i="2"/>
  <c r="D56" i="2"/>
  <c r="C56" i="2"/>
  <c r="N55" i="2"/>
  <c r="M55" i="2"/>
  <c r="L55" i="2"/>
  <c r="K55" i="2"/>
  <c r="J55" i="2"/>
  <c r="I55" i="2"/>
  <c r="H55" i="2"/>
  <c r="G55" i="2"/>
  <c r="F55" i="2"/>
  <c r="E55" i="2"/>
  <c r="D55" i="2"/>
  <c r="C55" i="2"/>
  <c r="N54" i="2"/>
  <c r="M54" i="2"/>
  <c r="L54" i="2"/>
  <c r="K54" i="2"/>
  <c r="J54" i="2"/>
  <c r="I54" i="2"/>
  <c r="H54" i="2"/>
  <c r="G54" i="2"/>
  <c r="F54" i="2"/>
  <c r="E54" i="2"/>
  <c r="D54" i="2"/>
  <c r="C54" i="2"/>
  <c r="N53" i="2"/>
  <c r="M53" i="2"/>
  <c r="L53" i="2"/>
  <c r="K53" i="2"/>
  <c r="J53" i="2"/>
  <c r="I53" i="2"/>
  <c r="H53" i="2"/>
  <c r="G53" i="2"/>
  <c r="F53" i="2"/>
  <c r="E53" i="2"/>
  <c r="D53" i="2"/>
  <c r="C53" i="2"/>
  <c r="N52" i="2"/>
  <c r="M52" i="2"/>
  <c r="L52" i="2"/>
  <c r="K52" i="2"/>
  <c r="J52" i="2"/>
  <c r="I52" i="2"/>
  <c r="H52" i="2"/>
  <c r="G52" i="2"/>
  <c r="F52" i="2"/>
  <c r="E52" i="2"/>
  <c r="D52" i="2"/>
  <c r="C52" i="2"/>
  <c r="N51" i="2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R89" i="1" l="1"/>
  <c r="D14" i="1"/>
  <c r="H14" i="1"/>
  <c r="L14" i="1"/>
  <c r="P14" i="1"/>
  <c r="T14" i="1"/>
  <c r="P24" i="1"/>
  <c r="F24" i="1"/>
  <c r="J24" i="1"/>
  <c r="N24" i="1"/>
  <c r="R24" i="1"/>
  <c r="S29" i="1"/>
  <c r="C34" i="1"/>
  <c r="G34" i="1"/>
  <c r="O34" i="1"/>
  <c r="S34" i="1"/>
  <c r="E34" i="1"/>
  <c r="I34" i="1"/>
  <c r="M34" i="1"/>
  <c r="Q34" i="1"/>
  <c r="K39" i="1"/>
  <c r="S39" i="1"/>
  <c r="C49" i="1"/>
  <c r="K49" i="1"/>
  <c r="S49" i="1"/>
  <c r="P54" i="1"/>
  <c r="H59" i="1"/>
  <c r="P59" i="1"/>
  <c r="F59" i="1"/>
  <c r="J59" i="1"/>
  <c r="N59" i="1"/>
  <c r="R59" i="1"/>
  <c r="C64" i="1"/>
  <c r="K64" i="1"/>
  <c r="S64" i="1"/>
  <c r="C69" i="1"/>
  <c r="G69" i="1"/>
  <c r="O69" i="1"/>
  <c r="E69" i="1"/>
  <c r="I69" i="1"/>
  <c r="M69" i="1"/>
  <c r="Q69" i="1"/>
  <c r="C84" i="1"/>
  <c r="E84" i="1"/>
  <c r="I84" i="1"/>
  <c r="M84" i="1"/>
  <c r="Q84" i="1"/>
  <c r="C89" i="1"/>
  <c r="K89" i="1"/>
  <c r="S89" i="1"/>
  <c r="C14" i="1"/>
  <c r="G14" i="1"/>
  <c r="O14" i="1"/>
  <c r="E14" i="1"/>
  <c r="I14" i="1"/>
  <c r="M14" i="1"/>
  <c r="Q14" i="1"/>
  <c r="H19" i="1"/>
  <c r="F19" i="1"/>
  <c r="J19" i="1"/>
  <c r="N19" i="1"/>
  <c r="R19" i="1"/>
  <c r="C24" i="1"/>
  <c r="K24" i="1"/>
  <c r="S24" i="1"/>
  <c r="D29" i="1"/>
  <c r="H29" i="1"/>
  <c r="L29" i="1"/>
  <c r="P29" i="1"/>
  <c r="T29" i="1"/>
  <c r="P39" i="1"/>
  <c r="D49" i="1"/>
  <c r="L49" i="1"/>
  <c r="T49" i="1"/>
  <c r="C59" i="1"/>
  <c r="S59" i="1"/>
  <c r="P84" i="1"/>
  <c r="F84" i="1"/>
  <c r="J84" i="1"/>
  <c r="N84" i="1"/>
  <c r="R84" i="1"/>
  <c r="D89" i="1"/>
  <c r="H89" i="1"/>
  <c r="L89" i="1"/>
  <c r="P89" i="1"/>
  <c r="T89" i="1"/>
  <c r="F14" i="1"/>
  <c r="J14" i="1"/>
  <c r="N14" i="1"/>
  <c r="R14" i="1"/>
  <c r="F34" i="1"/>
  <c r="J34" i="1"/>
  <c r="N34" i="1"/>
  <c r="R34" i="1"/>
  <c r="G49" i="1"/>
  <c r="O49" i="1"/>
  <c r="E49" i="1"/>
  <c r="I49" i="1"/>
  <c r="M49" i="1"/>
  <c r="Q49" i="1"/>
  <c r="G54" i="1"/>
  <c r="O54" i="1"/>
  <c r="E54" i="1"/>
  <c r="I54" i="1"/>
  <c r="M54" i="1"/>
  <c r="Q54" i="1"/>
  <c r="D59" i="1"/>
  <c r="L59" i="1"/>
  <c r="T59" i="1"/>
  <c r="G64" i="1"/>
  <c r="O64" i="1"/>
  <c r="E64" i="1"/>
  <c r="I64" i="1"/>
  <c r="M64" i="1"/>
  <c r="Q64" i="1"/>
  <c r="K14" i="1"/>
  <c r="G19" i="1"/>
  <c r="O19" i="1"/>
  <c r="E19" i="1"/>
  <c r="I19" i="1"/>
  <c r="M19" i="1"/>
  <c r="Q19" i="1"/>
  <c r="D24" i="1"/>
  <c r="L24" i="1"/>
  <c r="T24" i="1"/>
  <c r="F44" i="1"/>
  <c r="J44" i="1"/>
  <c r="N44" i="1"/>
  <c r="R44" i="1"/>
  <c r="H69" i="1"/>
  <c r="P69" i="1"/>
  <c r="F69" i="1"/>
  <c r="J69" i="1"/>
  <c r="N69" i="1"/>
  <c r="R69" i="1"/>
  <c r="C74" i="1"/>
  <c r="K74" i="1"/>
  <c r="S74" i="1"/>
  <c r="G74" i="1"/>
  <c r="O74" i="1"/>
  <c r="F79" i="1"/>
  <c r="J79" i="1"/>
  <c r="N79" i="1"/>
  <c r="F64" i="1"/>
  <c r="J64" i="1"/>
  <c r="N64" i="1"/>
  <c r="R64" i="1"/>
  <c r="D74" i="1"/>
  <c r="H74" i="1"/>
  <c r="L74" i="1"/>
  <c r="P74" i="1"/>
  <c r="T74" i="1"/>
  <c r="Q89" i="1"/>
  <c r="E74" i="1"/>
  <c r="I74" i="1"/>
  <c r="M74" i="1"/>
  <c r="Q74" i="1"/>
  <c r="D79" i="1"/>
  <c r="H79" i="1"/>
  <c r="L79" i="1"/>
  <c r="T79" i="1"/>
  <c r="G84" i="1"/>
  <c r="O84" i="1"/>
  <c r="F89" i="1"/>
  <c r="J89" i="1"/>
  <c r="N89" i="1"/>
  <c r="D19" i="1"/>
  <c r="L19" i="1"/>
  <c r="T19" i="1"/>
  <c r="G24" i="1"/>
  <c r="O24" i="1"/>
  <c r="E24" i="1"/>
  <c r="I24" i="1"/>
  <c r="M24" i="1"/>
  <c r="Q24" i="1"/>
  <c r="F29" i="1"/>
  <c r="J29" i="1"/>
  <c r="N29" i="1"/>
  <c r="R29" i="1"/>
  <c r="D39" i="1"/>
  <c r="L39" i="1"/>
  <c r="T39" i="1"/>
  <c r="G44" i="1"/>
  <c r="O44" i="1"/>
  <c r="E44" i="1"/>
  <c r="I44" i="1"/>
  <c r="M44" i="1"/>
  <c r="Q44" i="1"/>
  <c r="H49" i="1"/>
  <c r="F49" i="1"/>
  <c r="J49" i="1"/>
  <c r="N49" i="1"/>
  <c r="R49" i="1"/>
  <c r="D54" i="1"/>
  <c r="L54" i="1"/>
  <c r="T54" i="1"/>
  <c r="G59" i="1"/>
  <c r="O59" i="1"/>
  <c r="E59" i="1"/>
  <c r="I59" i="1"/>
  <c r="M59" i="1"/>
  <c r="Q59" i="1"/>
  <c r="D64" i="1"/>
  <c r="H64" i="1"/>
  <c r="L64" i="1"/>
  <c r="T64" i="1"/>
  <c r="F74" i="1"/>
  <c r="J74" i="1"/>
  <c r="N74" i="1"/>
  <c r="R74" i="1"/>
  <c r="E79" i="1"/>
  <c r="I79" i="1"/>
  <c r="M79" i="1"/>
  <c r="Q79" i="1"/>
  <c r="D84" i="1"/>
  <c r="H84" i="1"/>
  <c r="L84" i="1"/>
  <c r="T84" i="1"/>
  <c r="G89" i="1"/>
  <c r="O89" i="1"/>
</calcChain>
</file>

<file path=xl/sharedStrings.xml><?xml version="1.0" encoding="utf-8"?>
<sst xmlns="http://schemas.openxmlformats.org/spreadsheetml/2006/main" count="133" uniqueCount="36">
  <si>
    <t>Week 1 starts from Monday 6th January 2020 and from Monday 7 January 2019</t>
  </si>
  <si>
    <t>WEEK</t>
  </si>
  <si>
    <t xml:space="preserve">Week commencing (2020 date) </t>
  </si>
  <si>
    <t xml:space="preserve">Week commencing (2019 date) </t>
  </si>
  <si>
    <t>Week of</t>
  </si>
  <si>
    <t>ALL</t>
  </si>
  <si>
    <t>Spain</t>
  </si>
  <si>
    <t>Hong Kong</t>
  </si>
  <si>
    <t>Germany</t>
  </si>
  <si>
    <t>Singapore</t>
  </si>
  <si>
    <t>Italy</t>
  </si>
  <si>
    <t>France</t>
  </si>
  <si>
    <t>UK</t>
  </si>
  <si>
    <t>Australia</t>
  </si>
  <si>
    <t>Sweden</t>
  </si>
  <si>
    <t>UAE</t>
  </si>
  <si>
    <t>South Korea</t>
  </si>
  <si>
    <t>USA</t>
  </si>
  <si>
    <t>India</t>
  </si>
  <si>
    <t>China</t>
  </si>
  <si>
    <t>Japan</t>
  </si>
  <si>
    <t>Global Scheduled Flights Change year-over-year</t>
  </si>
  <si>
    <t>Week compared with equivalent week in previous year i.e. Monday 6th January 2020 vs Monday 7 January 2019.</t>
  </si>
  <si>
    <t>Countries</t>
  </si>
  <si>
    <t>January</t>
  </si>
  <si>
    <t>February</t>
  </si>
  <si>
    <t>2019 - Scheduled Departing Flights by County and By Week</t>
  </si>
  <si>
    <t>Grand Total</t>
  </si>
  <si>
    <t>Hong Kong (sar) China</t>
  </si>
  <si>
    <t>United kingdom</t>
  </si>
  <si>
    <t>United Arab Emirates</t>
  </si>
  <si>
    <t>Korea Republic of</t>
  </si>
  <si>
    <t>2020 - Scheduled Departing Flights by County and By Week</t>
  </si>
  <si>
    <t xml:space="preserve">SUMMARY TABLE </t>
  </si>
  <si>
    <t>Year-over-year growth in Frequencies</t>
  </si>
  <si>
    <t>www.oag.com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</si>
</sst>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i/>
      <sz val="11"/>
      <color theme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20"/>
      <color theme="1"/>
      <name val="DIN Condensed"/>
      <family val="2"/>
    </font>
    <font>
      <sz val="14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3" borderId="0" xfId="0" applyFill="1"/>
    <xf numFmtId="16" fontId="0" fillId="2" borderId="0" xfId="0" applyNumberFormat="1" applyFill="1"/>
    <xf numFmtId="165" fontId="0" fillId="2" borderId="0" xfId="2" applyNumberFormat="1" applyFont="1" applyFill="1" applyBorder="1"/>
    <xf numFmtId="164" fontId="0" fillId="2" borderId="0" xfId="1" applyNumberFormat="1" applyFont="1" applyFill="1"/>
    <xf numFmtId="16" fontId="0" fillId="0" borderId="0" xfId="0" applyNumberFormat="1"/>
    <xf numFmtId="0" fontId="3" fillId="0" borderId="0" xfId="0" applyFont="1"/>
    <xf numFmtId="16" fontId="3" fillId="0" borderId="0" xfId="0" applyNumberFormat="1" applyFont="1"/>
    <xf numFmtId="164" fontId="0" fillId="0" borderId="0" xfId="1" applyNumberFormat="1" applyFont="1"/>
    <xf numFmtId="165" fontId="0" fillId="0" borderId="0" xfId="2" applyNumberFormat="1" applyFont="1"/>
    <xf numFmtId="164" fontId="4" fillId="0" borderId="0" xfId="1" applyNumberFormat="1" applyFont="1"/>
    <xf numFmtId="0" fontId="5" fillId="0" borderId="0" xfId="0" applyFont="1"/>
    <xf numFmtId="164" fontId="0" fillId="0" borderId="0" xfId="0" applyNumberFormat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10" fillId="2" borderId="0" xfId="3" applyFont="1" applyFill="1"/>
    <xf numFmtId="0" fontId="0" fillId="0" borderId="0" xfId="0" applyFill="1"/>
    <xf numFmtId="0" fontId="11" fillId="2" borderId="0" xfId="0" applyFont="1" applyFill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5.xml"/><Relationship Id="rId1" Type="http://schemas.microsoft.com/office/2011/relationships/chartStyle" Target="style15.xml"/><Relationship Id="rId4" Type="http://schemas.openxmlformats.org/officeDocument/2006/relationships/chartUserShapes" Target="../drawings/drawing17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6.xml"/><Relationship Id="rId1" Type="http://schemas.microsoft.com/office/2011/relationships/chartStyle" Target="style16.xml"/><Relationship Id="rId4" Type="http://schemas.openxmlformats.org/officeDocument/2006/relationships/chartUserShapes" Target="../drawings/drawing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GLOBAL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57347293441181"/>
          <c:y val="0.14851904401563878"/>
          <c:w val="0.82444832543071078"/>
          <c:h val="0.69063532601841338"/>
        </c:manualLayout>
      </c:layout>
      <c:lineChart>
        <c:grouping val="standard"/>
        <c:varyColors val="0"/>
        <c:ser>
          <c:idx val="0"/>
          <c:order val="0"/>
          <c:tx>
            <c:strRef>
              <c:f>'[1]Charts for Website'!$B$9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Website'!$C$8:$T$8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Website'!$C$9:$T$9</c:f>
              <c:numCache>
                <c:formatCode>General</c:formatCode>
                <c:ptCount val="18"/>
                <c:pt idx="0">
                  <c:v>802822</c:v>
                </c:pt>
                <c:pt idx="1">
                  <c:v>796800</c:v>
                </c:pt>
                <c:pt idx="2">
                  <c:v>802615</c:v>
                </c:pt>
                <c:pt idx="3">
                  <c:v>804614</c:v>
                </c:pt>
                <c:pt idx="4">
                  <c:v>804014</c:v>
                </c:pt>
                <c:pt idx="5">
                  <c:v>812924</c:v>
                </c:pt>
                <c:pt idx="6">
                  <c:v>815986</c:v>
                </c:pt>
                <c:pt idx="7">
                  <c:v>817506</c:v>
                </c:pt>
                <c:pt idx="8">
                  <c:v>822043</c:v>
                </c:pt>
                <c:pt idx="9">
                  <c:v>826516</c:v>
                </c:pt>
                <c:pt idx="10">
                  <c:v>822084</c:v>
                </c:pt>
                <c:pt idx="11">
                  <c:v>819387</c:v>
                </c:pt>
                <c:pt idx="12">
                  <c:v>836372</c:v>
                </c:pt>
                <c:pt idx="13">
                  <c:v>841411</c:v>
                </c:pt>
                <c:pt idx="14">
                  <c:v>834146</c:v>
                </c:pt>
                <c:pt idx="15">
                  <c:v>843338</c:v>
                </c:pt>
                <c:pt idx="16">
                  <c:v>843491</c:v>
                </c:pt>
                <c:pt idx="17">
                  <c:v>843421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7-4F2E-BEE0-27F940FD5CA8}"/>
            </c:ext>
          </c:extLst>
        </c:ser>
        <c:ser>
          <c:idx val="1"/>
          <c:order val="1"/>
          <c:tx>
            <c:strRef>
              <c:f>'[1]Charts for Website'!$B$10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44450" cap="rnd" cmpd="sng">
                <a:solidFill>
                  <a:srgbClr val="FFD60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D7-4F2E-BEE0-27F940FD5CA8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44450" cap="rnd">
                <a:solidFill>
                  <a:srgbClr val="FFD60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D7-4F2E-BEE0-27F940FD5CA8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8BD7-4F2E-BEE0-27F940FD5CA8}"/>
              </c:ext>
            </c:extLst>
          </c:dPt>
          <c:cat>
            <c:numRef>
              <c:f>'[1]Charts for Website'!$C$8:$T$8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Website'!$C$10:$T$10</c:f>
              <c:numCache>
                <c:formatCode>General</c:formatCode>
                <c:ptCount val="18"/>
                <c:pt idx="0">
                  <c:v>814625</c:v>
                </c:pt>
                <c:pt idx="1">
                  <c:v>806924</c:v>
                </c:pt>
                <c:pt idx="2">
                  <c:v>806505</c:v>
                </c:pt>
                <c:pt idx="3">
                  <c:v>805881</c:v>
                </c:pt>
                <c:pt idx="4">
                  <c:v>775141</c:v>
                </c:pt>
                <c:pt idx="5">
                  <c:v>732120</c:v>
                </c:pt>
                <c:pt idx="6">
                  <c:v>728408</c:v>
                </c:pt>
                <c:pt idx="7">
                  <c:v>734927</c:v>
                </c:pt>
                <c:pt idx="8">
                  <c:v>756880</c:v>
                </c:pt>
                <c:pt idx="9">
                  <c:v>743169</c:v>
                </c:pt>
                <c:pt idx="10">
                  <c:v>720239</c:v>
                </c:pt>
                <c:pt idx="11">
                  <c:v>584116</c:v>
                </c:pt>
                <c:pt idx="12">
                  <c:v>437769</c:v>
                </c:pt>
                <c:pt idx="13">
                  <c:v>343431</c:v>
                </c:pt>
                <c:pt idx="14">
                  <c:v>292418</c:v>
                </c:pt>
                <c:pt idx="15">
                  <c:v>276965</c:v>
                </c:pt>
                <c:pt idx="16">
                  <c:v>279754</c:v>
                </c:pt>
                <c:pt idx="17">
                  <c:v>253691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BD7-4F2E-BEE0-27F940FD5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  <c:max val="1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CHINA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Website'!$B$79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Website'!$C$78:$T$78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Website'!$C$79:$T$79</c:f>
              <c:numCache>
                <c:formatCode>General</c:formatCode>
                <c:ptCount val="18"/>
                <c:pt idx="0">
                  <c:v>106621</c:v>
                </c:pt>
                <c:pt idx="1">
                  <c:v>109024</c:v>
                </c:pt>
                <c:pt idx="2">
                  <c:v>113547</c:v>
                </c:pt>
                <c:pt idx="3">
                  <c:v>116147</c:v>
                </c:pt>
                <c:pt idx="4">
                  <c:v>110053</c:v>
                </c:pt>
                <c:pt idx="5">
                  <c:v>116368</c:v>
                </c:pt>
                <c:pt idx="6">
                  <c:v>114363</c:v>
                </c:pt>
                <c:pt idx="7">
                  <c:v>111622</c:v>
                </c:pt>
                <c:pt idx="8">
                  <c:v>108105</c:v>
                </c:pt>
                <c:pt idx="9">
                  <c:v>107255</c:v>
                </c:pt>
                <c:pt idx="10">
                  <c:v>105151</c:v>
                </c:pt>
                <c:pt idx="11">
                  <c:v>105193</c:v>
                </c:pt>
                <c:pt idx="12">
                  <c:v>108927</c:v>
                </c:pt>
                <c:pt idx="13">
                  <c:v>110945</c:v>
                </c:pt>
                <c:pt idx="14">
                  <c:v>111152</c:v>
                </c:pt>
                <c:pt idx="15">
                  <c:v>109834</c:v>
                </c:pt>
                <c:pt idx="16">
                  <c:v>109887</c:v>
                </c:pt>
                <c:pt idx="17">
                  <c:v>109471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E8-43B8-AC10-40827DF0BA19}"/>
            </c:ext>
          </c:extLst>
        </c:ser>
        <c:ser>
          <c:idx val="1"/>
          <c:order val="1"/>
          <c:tx>
            <c:strRef>
              <c:f>'[1]Charts for Website'!$B$80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17E8-43B8-AC10-40827DF0BA19}"/>
              </c:ext>
            </c:extLst>
          </c:dPt>
          <c:cat>
            <c:numRef>
              <c:f>'[1]Charts for Website'!$C$78:$T$78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Website'!$C$80:$T$80</c:f>
              <c:numCache>
                <c:formatCode>General</c:formatCode>
                <c:ptCount val="18"/>
                <c:pt idx="0">
                  <c:v>114888</c:v>
                </c:pt>
                <c:pt idx="1">
                  <c:v>118650</c:v>
                </c:pt>
                <c:pt idx="2">
                  <c:v>115396</c:v>
                </c:pt>
                <c:pt idx="3">
                  <c:v>115588</c:v>
                </c:pt>
                <c:pt idx="4">
                  <c:v>85110</c:v>
                </c:pt>
                <c:pt idx="5">
                  <c:v>42761</c:v>
                </c:pt>
                <c:pt idx="6">
                  <c:v>33397</c:v>
                </c:pt>
                <c:pt idx="7">
                  <c:v>42046</c:v>
                </c:pt>
                <c:pt idx="8">
                  <c:v>63179</c:v>
                </c:pt>
                <c:pt idx="9">
                  <c:v>61200</c:v>
                </c:pt>
                <c:pt idx="10">
                  <c:v>64426</c:v>
                </c:pt>
                <c:pt idx="11">
                  <c:v>65735</c:v>
                </c:pt>
                <c:pt idx="12">
                  <c:v>61072</c:v>
                </c:pt>
                <c:pt idx="13">
                  <c:v>59699</c:v>
                </c:pt>
                <c:pt idx="14">
                  <c:v>63787</c:v>
                </c:pt>
                <c:pt idx="15">
                  <c:v>63298</c:v>
                </c:pt>
                <c:pt idx="16">
                  <c:v>66837</c:v>
                </c:pt>
                <c:pt idx="17">
                  <c:v>74459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7E8-43B8-AC10-40827DF0B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SOUTH</a:t>
            </a:r>
            <a:r>
              <a:rPr lang="en-GB" baseline="0"/>
              <a:t> KOREA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Website'!$B$64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Website'!$C$63:$T$63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Website'!$C$64:$T$64</c:f>
              <c:numCache>
                <c:formatCode>General</c:formatCode>
                <c:ptCount val="18"/>
                <c:pt idx="0">
                  <c:v>8503</c:v>
                </c:pt>
                <c:pt idx="1">
                  <c:v>8467</c:v>
                </c:pt>
                <c:pt idx="2">
                  <c:v>8506</c:v>
                </c:pt>
                <c:pt idx="3">
                  <c:v>8545</c:v>
                </c:pt>
                <c:pt idx="4">
                  <c:v>8607</c:v>
                </c:pt>
                <c:pt idx="5">
                  <c:v>8501</c:v>
                </c:pt>
                <c:pt idx="6">
                  <c:v>8527</c:v>
                </c:pt>
                <c:pt idx="7">
                  <c:v>8520</c:v>
                </c:pt>
                <c:pt idx="8">
                  <c:v>8394</c:v>
                </c:pt>
                <c:pt idx="9">
                  <c:v>8372</c:v>
                </c:pt>
                <c:pt idx="10">
                  <c:v>8317</c:v>
                </c:pt>
                <c:pt idx="11">
                  <c:v>8357</c:v>
                </c:pt>
                <c:pt idx="12">
                  <c:v>8407</c:v>
                </c:pt>
                <c:pt idx="13">
                  <c:v>8475</c:v>
                </c:pt>
                <c:pt idx="14">
                  <c:v>8507</c:v>
                </c:pt>
                <c:pt idx="15">
                  <c:v>8562</c:v>
                </c:pt>
                <c:pt idx="16">
                  <c:v>8647</c:v>
                </c:pt>
                <c:pt idx="17">
                  <c:v>8668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A-4D71-9B84-7F043E1779EE}"/>
            </c:ext>
          </c:extLst>
        </c:ser>
        <c:ser>
          <c:idx val="1"/>
          <c:order val="1"/>
          <c:tx>
            <c:strRef>
              <c:f>'[1]Charts for Website'!$B$65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3F4A-4D71-9B84-7F043E1779EE}"/>
              </c:ext>
            </c:extLst>
          </c:dPt>
          <c:cat>
            <c:numRef>
              <c:f>'[1]Charts for Website'!$C$63:$T$63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Website'!$C$65:$T$65</c:f>
              <c:numCache>
                <c:formatCode>General</c:formatCode>
                <c:ptCount val="18"/>
                <c:pt idx="0">
                  <c:v>8655</c:v>
                </c:pt>
                <c:pt idx="1">
                  <c:v>8643</c:v>
                </c:pt>
                <c:pt idx="2">
                  <c:v>8793</c:v>
                </c:pt>
                <c:pt idx="3">
                  <c:v>8663</c:v>
                </c:pt>
                <c:pt idx="4">
                  <c:v>8316</c:v>
                </c:pt>
                <c:pt idx="5">
                  <c:v>7708</c:v>
                </c:pt>
                <c:pt idx="6">
                  <c:v>7185</c:v>
                </c:pt>
                <c:pt idx="7">
                  <c:v>6998</c:v>
                </c:pt>
                <c:pt idx="8">
                  <c:v>5532</c:v>
                </c:pt>
                <c:pt idx="9">
                  <c:v>4014</c:v>
                </c:pt>
                <c:pt idx="10">
                  <c:v>3649</c:v>
                </c:pt>
                <c:pt idx="11">
                  <c:v>3700</c:v>
                </c:pt>
                <c:pt idx="12">
                  <c:v>3652</c:v>
                </c:pt>
                <c:pt idx="13">
                  <c:v>3451</c:v>
                </c:pt>
                <c:pt idx="14">
                  <c:v>3364</c:v>
                </c:pt>
                <c:pt idx="15">
                  <c:v>3525</c:v>
                </c:pt>
                <c:pt idx="16">
                  <c:v>4455</c:v>
                </c:pt>
                <c:pt idx="17">
                  <c:v>4380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F4A-4D71-9B84-7F043E177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JAPAN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Website'!$B$84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Website'!$C$83:$T$83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Website'!$C$84:$T$84</c:f>
              <c:numCache>
                <c:formatCode>General</c:formatCode>
                <c:ptCount val="18"/>
                <c:pt idx="0">
                  <c:v>21892</c:v>
                </c:pt>
                <c:pt idx="1">
                  <c:v>21940</c:v>
                </c:pt>
                <c:pt idx="2">
                  <c:v>22030</c:v>
                </c:pt>
                <c:pt idx="3">
                  <c:v>22106</c:v>
                </c:pt>
                <c:pt idx="4">
                  <c:v>22239</c:v>
                </c:pt>
                <c:pt idx="5">
                  <c:v>22131</c:v>
                </c:pt>
                <c:pt idx="6">
                  <c:v>22049</c:v>
                </c:pt>
                <c:pt idx="7">
                  <c:v>22188</c:v>
                </c:pt>
                <c:pt idx="8">
                  <c:v>22204</c:v>
                </c:pt>
                <c:pt idx="9">
                  <c:v>22230</c:v>
                </c:pt>
                <c:pt idx="10">
                  <c:v>22364</c:v>
                </c:pt>
                <c:pt idx="11">
                  <c:v>22589</c:v>
                </c:pt>
                <c:pt idx="12">
                  <c:v>22925</c:v>
                </c:pt>
                <c:pt idx="13">
                  <c:v>22730</c:v>
                </c:pt>
                <c:pt idx="14">
                  <c:v>22747</c:v>
                </c:pt>
                <c:pt idx="15">
                  <c:v>22920</c:v>
                </c:pt>
                <c:pt idx="16">
                  <c:v>23344</c:v>
                </c:pt>
                <c:pt idx="17">
                  <c:v>22559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D-4DB6-81EC-C7499E48C21A}"/>
            </c:ext>
          </c:extLst>
        </c:ser>
        <c:ser>
          <c:idx val="1"/>
          <c:order val="1"/>
          <c:tx>
            <c:strRef>
              <c:f>'[1]Charts for Website'!$B$85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2CCD-4DB6-81EC-C7499E48C21A}"/>
              </c:ext>
            </c:extLst>
          </c:dPt>
          <c:cat>
            <c:numRef>
              <c:f>'[1]Charts for Website'!$C$83:$T$83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Website'!$C$85:$T$85</c:f>
              <c:numCache>
                <c:formatCode>General</c:formatCode>
                <c:ptCount val="18"/>
                <c:pt idx="0">
                  <c:v>22466</c:v>
                </c:pt>
                <c:pt idx="1">
                  <c:v>22434</c:v>
                </c:pt>
                <c:pt idx="2">
                  <c:v>22595</c:v>
                </c:pt>
                <c:pt idx="3">
                  <c:v>22564</c:v>
                </c:pt>
                <c:pt idx="4">
                  <c:v>22066</c:v>
                </c:pt>
                <c:pt idx="5">
                  <c:v>21423</c:v>
                </c:pt>
                <c:pt idx="6">
                  <c:v>21040</c:v>
                </c:pt>
                <c:pt idx="7">
                  <c:v>20954</c:v>
                </c:pt>
                <c:pt idx="8">
                  <c:v>20523</c:v>
                </c:pt>
                <c:pt idx="9">
                  <c:v>18906</c:v>
                </c:pt>
                <c:pt idx="10">
                  <c:v>18063</c:v>
                </c:pt>
                <c:pt idx="11">
                  <c:v>17103</c:v>
                </c:pt>
                <c:pt idx="12">
                  <c:v>16532</c:v>
                </c:pt>
                <c:pt idx="13">
                  <c:v>15451</c:v>
                </c:pt>
                <c:pt idx="14">
                  <c:v>13633</c:v>
                </c:pt>
                <c:pt idx="15">
                  <c:v>12749</c:v>
                </c:pt>
                <c:pt idx="16">
                  <c:v>12925</c:v>
                </c:pt>
                <c:pt idx="17">
                  <c:v>11950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CCD-4DB6-81EC-C7499E48C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  <c:max val="3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HONG</a:t>
            </a:r>
            <a:r>
              <a:rPr lang="en-GB" baseline="0"/>
              <a:t> KONG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Website'!$B$19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Website'!$C$18:$T$18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Website'!$C$19:$T$19</c:f>
              <c:numCache>
                <c:formatCode>General</c:formatCode>
                <c:ptCount val="18"/>
                <c:pt idx="0">
                  <c:v>3726</c:v>
                </c:pt>
                <c:pt idx="1">
                  <c:v>3733</c:v>
                </c:pt>
                <c:pt idx="2">
                  <c:v>3768</c:v>
                </c:pt>
                <c:pt idx="3">
                  <c:v>3813</c:v>
                </c:pt>
                <c:pt idx="4">
                  <c:v>3810</c:v>
                </c:pt>
                <c:pt idx="5">
                  <c:v>3818</c:v>
                </c:pt>
                <c:pt idx="6">
                  <c:v>3763</c:v>
                </c:pt>
                <c:pt idx="7">
                  <c:v>3752</c:v>
                </c:pt>
                <c:pt idx="8">
                  <c:v>3701</c:v>
                </c:pt>
                <c:pt idx="9">
                  <c:v>3723</c:v>
                </c:pt>
                <c:pt idx="10">
                  <c:v>3737</c:v>
                </c:pt>
                <c:pt idx="11">
                  <c:v>3744</c:v>
                </c:pt>
                <c:pt idx="12">
                  <c:v>3748</c:v>
                </c:pt>
                <c:pt idx="13">
                  <c:v>3740</c:v>
                </c:pt>
                <c:pt idx="14">
                  <c:v>3775</c:v>
                </c:pt>
                <c:pt idx="15">
                  <c:v>3793</c:v>
                </c:pt>
                <c:pt idx="16">
                  <c:v>3786</c:v>
                </c:pt>
                <c:pt idx="17">
                  <c:v>3725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5-4D7C-86B2-44E3F537392B}"/>
            </c:ext>
          </c:extLst>
        </c:ser>
        <c:ser>
          <c:idx val="1"/>
          <c:order val="1"/>
          <c:tx>
            <c:strRef>
              <c:f>'[1]Charts for Website'!$B$20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B535-4D7C-86B2-44E3F537392B}"/>
              </c:ext>
            </c:extLst>
          </c:dPt>
          <c:cat>
            <c:numRef>
              <c:f>'[1]Charts for Website'!$C$18:$T$18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Website'!$C$20:$T$20</c:f>
              <c:numCache>
                <c:formatCode>General</c:formatCode>
                <c:ptCount val="18"/>
                <c:pt idx="0">
                  <c:v>3306</c:v>
                </c:pt>
                <c:pt idx="1">
                  <c:v>3331</c:v>
                </c:pt>
                <c:pt idx="2">
                  <c:v>3467</c:v>
                </c:pt>
                <c:pt idx="3">
                  <c:v>3480</c:v>
                </c:pt>
                <c:pt idx="4">
                  <c:v>3025</c:v>
                </c:pt>
                <c:pt idx="5">
                  <c:v>2113</c:v>
                </c:pt>
                <c:pt idx="6">
                  <c:v>1590</c:v>
                </c:pt>
                <c:pt idx="7">
                  <c:v>1376</c:v>
                </c:pt>
                <c:pt idx="8">
                  <c:v>1096</c:v>
                </c:pt>
                <c:pt idx="9">
                  <c:v>836</c:v>
                </c:pt>
                <c:pt idx="10">
                  <c:v>719</c:v>
                </c:pt>
                <c:pt idx="11">
                  <c:v>687</c:v>
                </c:pt>
                <c:pt idx="12">
                  <c:v>440</c:v>
                </c:pt>
                <c:pt idx="13">
                  <c:v>289</c:v>
                </c:pt>
                <c:pt idx="14">
                  <c:v>220</c:v>
                </c:pt>
                <c:pt idx="15">
                  <c:v>209</c:v>
                </c:pt>
                <c:pt idx="16">
                  <c:v>259</c:v>
                </c:pt>
                <c:pt idx="17">
                  <c:v>240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35-4D7C-86B2-44E3F537392B}"/>
            </c:ext>
          </c:extLst>
        </c:ser>
        <c:ser>
          <c:idx val="2"/>
          <c:order val="2"/>
          <c:tx>
            <c:strRef>
              <c:f>'[1]Charts for Website'!$B$21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Website'!$C$18:$T$18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Website'!$C$21:$T$21</c:f>
              <c:numCache>
                <c:formatCode>General</c:formatCode>
                <c:ptCount val="18"/>
                <c:pt idx="0">
                  <c:v>-0.1127214170692431</c:v>
                </c:pt>
                <c:pt idx="1">
                  <c:v>-0.10768818644521827</c:v>
                </c:pt>
                <c:pt idx="2">
                  <c:v>-7.9883227176220761E-2</c:v>
                </c:pt>
                <c:pt idx="3">
                  <c:v>-8.733280881195904E-2</c:v>
                </c:pt>
                <c:pt idx="4">
                  <c:v>-0.20603674540682415</c:v>
                </c:pt>
                <c:pt idx="5">
                  <c:v>-0.44656888423258245</c:v>
                </c:pt>
                <c:pt idx="6">
                  <c:v>-0.57746478873239437</c:v>
                </c:pt>
                <c:pt idx="7">
                  <c:v>-0.63326226012793174</c:v>
                </c:pt>
                <c:pt idx="8">
                  <c:v>-0.70386382058902996</c:v>
                </c:pt>
                <c:pt idx="9">
                  <c:v>-0.77544990598979324</c:v>
                </c:pt>
                <c:pt idx="10">
                  <c:v>-0.80759967888680761</c:v>
                </c:pt>
                <c:pt idx="11">
                  <c:v>-0.81650641025641024</c:v>
                </c:pt>
                <c:pt idx="12">
                  <c:v>-0.88260405549626464</c:v>
                </c:pt>
                <c:pt idx="13">
                  <c:v>-0.92272727272727273</c:v>
                </c:pt>
                <c:pt idx="14">
                  <c:v>-0.94172185430463573</c:v>
                </c:pt>
                <c:pt idx="15">
                  <c:v>-0.94489849723174268</c:v>
                </c:pt>
                <c:pt idx="16">
                  <c:v>-0.93159006867406235</c:v>
                </c:pt>
                <c:pt idx="17">
                  <c:v>-0.93557046979865777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35-4D7C-86B2-44E3F5373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  <c:max val="4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ITALY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Website'!$B$34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Website'!$C$33:$T$33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Website'!$C$34:$T$34</c:f>
              <c:numCache>
                <c:formatCode>General</c:formatCode>
                <c:ptCount val="18"/>
                <c:pt idx="0">
                  <c:v>11331</c:v>
                </c:pt>
                <c:pt idx="1">
                  <c:v>11053</c:v>
                </c:pt>
                <c:pt idx="2">
                  <c:v>11012</c:v>
                </c:pt>
                <c:pt idx="3">
                  <c:v>11087</c:v>
                </c:pt>
                <c:pt idx="4">
                  <c:v>11223</c:v>
                </c:pt>
                <c:pt idx="5">
                  <c:v>11474</c:v>
                </c:pt>
                <c:pt idx="6">
                  <c:v>11636</c:v>
                </c:pt>
                <c:pt idx="7">
                  <c:v>11590</c:v>
                </c:pt>
                <c:pt idx="8">
                  <c:v>11568</c:v>
                </c:pt>
                <c:pt idx="9">
                  <c:v>11568</c:v>
                </c:pt>
                <c:pt idx="10">
                  <c:v>11547</c:v>
                </c:pt>
                <c:pt idx="11">
                  <c:v>11520</c:v>
                </c:pt>
                <c:pt idx="12">
                  <c:v>13521</c:v>
                </c:pt>
                <c:pt idx="13">
                  <c:v>13685</c:v>
                </c:pt>
                <c:pt idx="14">
                  <c:v>13912</c:v>
                </c:pt>
                <c:pt idx="15">
                  <c:v>13959</c:v>
                </c:pt>
                <c:pt idx="16">
                  <c:v>14033</c:v>
                </c:pt>
                <c:pt idx="17">
                  <c:v>14205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12-4447-98D9-AF61403EE200}"/>
            </c:ext>
          </c:extLst>
        </c:ser>
        <c:ser>
          <c:idx val="1"/>
          <c:order val="1"/>
          <c:tx>
            <c:strRef>
              <c:f>'[1]Charts for Website'!$B$35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AA12-4447-98D9-AF61403EE200}"/>
              </c:ext>
            </c:extLst>
          </c:dPt>
          <c:cat>
            <c:numRef>
              <c:f>'[1]Charts for Website'!$C$33:$T$33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Website'!$C$35:$T$35</c:f>
              <c:numCache>
                <c:formatCode>General</c:formatCode>
                <c:ptCount val="18"/>
                <c:pt idx="0">
                  <c:v>11421</c:v>
                </c:pt>
                <c:pt idx="1">
                  <c:v>10505</c:v>
                </c:pt>
                <c:pt idx="2">
                  <c:v>10551</c:v>
                </c:pt>
                <c:pt idx="3">
                  <c:v>10551</c:v>
                </c:pt>
                <c:pt idx="4">
                  <c:v>10744</c:v>
                </c:pt>
                <c:pt idx="5">
                  <c:v>11071</c:v>
                </c:pt>
                <c:pt idx="6">
                  <c:v>11307</c:v>
                </c:pt>
                <c:pt idx="7">
                  <c:v>10872</c:v>
                </c:pt>
                <c:pt idx="8">
                  <c:v>10549</c:v>
                </c:pt>
                <c:pt idx="9">
                  <c:v>9067</c:v>
                </c:pt>
                <c:pt idx="10">
                  <c:v>3013</c:v>
                </c:pt>
                <c:pt idx="11">
                  <c:v>1382</c:v>
                </c:pt>
                <c:pt idx="12">
                  <c:v>1459</c:v>
                </c:pt>
                <c:pt idx="13">
                  <c:v>1510</c:v>
                </c:pt>
                <c:pt idx="14">
                  <c:v>1079</c:v>
                </c:pt>
                <c:pt idx="15">
                  <c:v>2618</c:v>
                </c:pt>
                <c:pt idx="16">
                  <c:v>2783</c:v>
                </c:pt>
                <c:pt idx="17">
                  <c:v>3112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AA12-4447-98D9-AF61403EE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GERMANY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Website'!$B$24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Website'!$C$23:$T$23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Website'!$C$24:$T$24</c:f>
              <c:numCache>
                <c:formatCode>General</c:formatCode>
                <c:ptCount val="18"/>
                <c:pt idx="0">
                  <c:v>16738</c:v>
                </c:pt>
                <c:pt idx="1">
                  <c:v>16713</c:v>
                </c:pt>
                <c:pt idx="2">
                  <c:v>16766</c:v>
                </c:pt>
                <c:pt idx="3">
                  <c:v>16962</c:v>
                </c:pt>
                <c:pt idx="4">
                  <c:v>17160</c:v>
                </c:pt>
                <c:pt idx="5">
                  <c:v>17576</c:v>
                </c:pt>
                <c:pt idx="6">
                  <c:v>17565</c:v>
                </c:pt>
                <c:pt idx="7">
                  <c:v>17558</c:v>
                </c:pt>
                <c:pt idx="8">
                  <c:v>17622</c:v>
                </c:pt>
                <c:pt idx="9">
                  <c:v>17616</c:v>
                </c:pt>
                <c:pt idx="10">
                  <c:v>17587</c:v>
                </c:pt>
                <c:pt idx="11">
                  <c:v>17793</c:v>
                </c:pt>
                <c:pt idx="12">
                  <c:v>18980</c:v>
                </c:pt>
                <c:pt idx="13">
                  <c:v>19249</c:v>
                </c:pt>
                <c:pt idx="14">
                  <c:v>18340</c:v>
                </c:pt>
                <c:pt idx="15">
                  <c:v>18834</c:v>
                </c:pt>
                <c:pt idx="16">
                  <c:v>19349</c:v>
                </c:pt>
                <c:pt idx="17">
                  <c:v>19804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C-4BE1-A016-1872C0E55BFB}"/>
            </c:ext>
          </c:extLst>
        </c:ser>
        <c:ser>
          <c:idx val="1"/>
          <c:order val="1"/>
          <c:tx>
            <c:strRef>
              <c:f>'[1]Charts for Website'!$B$25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529C-4BE1-A016-1872C0E55BFB}"/>
              </c:ext>
            </c:extLst>
          </c:dPt>
          <c:cat>
            <c:numRef>
              <c:f>'[1]Charts for Website'!$C$23:$T$23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Website'!$C$25:$T$25</c:f>
              <c:numCache>
                <c:formatCode>General</c:formatCode>
                <c:ptCount val="18"/>
                <c:pt idx="0">
                  <c:v>15303</c:v>
                </c:pt>
                <c:pt idx="1">
                  <c:v>15249</c:v>
                </c:pt>
                <c:pt idx="2">
                  <c:v>15357</c:v>
                </c:pt>
                <c:pt idx="3">
                  <c:v>15528</c:v>
                </c:pt>
                <c:pt idx="4">
                  <c:v>15811</c:v>
                </c:pt>
                <c:pt idx="5">
                  <c:v>16178</c:v>
                </c:pt>
                <c:pt idx="6">
                  <c:v>16411</c:v>
                </c:pt>
                <c:pt idx="7">
                  <c:v>16657</c:v>
                </c:pt>
                <c:pt idx="8">
                  <c:v>16741</c:v>
                </c:pt>
                <c:pt idx="9">
                  <c:v>14907</c:v>
                </c:pt>
                <c:pt idx="10">
                  <c:v>12270</c:v>
                </c:pt>
                <c:pt idx="11">
                  <c:v>5004</c:v>
                </c:pt>
                <c:pt idx="12">
                  <c:v>2171</c:v>
                </c:pt>
                <c:pt idx="13">
                  <c:v>1424</c:v>
                </c:pt>
                <c:pt idx="14">
                  <c:v>1384</c:v>
                </c:pt>
                <c:pt idx="15">
                  <c:v>1187</c:v>
                </c:pt>
                <c:pt idx="16">
                  <c:v>1381</c:v>
                </c:pt>
                <c:pt idx="17">
                  <c:v>1886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29C-4BE1-A016-1872C0E5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  <c:max val="22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USA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Website'!$B$69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Website'!$C$68:$T$68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Website'!$C$69:$T$69</c:f>
              <c:numCache>
                <c:formatCode>General</c:formatCode>
                <c:ptCount val="18"/>
                <c:pt idx="0">
                  <c:v>218070</c:v>
                </c:pt>
                <c:pt idx="1">
                  <c:v>214262</c:v>
                </c:pt>
                <c:pt idx="2">
                  <c:v>216577</c:v>
                </c:pt>
                <c:pt idx="3">
                  <c:v>213778</c:v>
                </c:pt>
                <c:pt idx="4">
                  <c:v>217272</c:v>
                </c:pt>
                <c:pt idx="5">
                  <c:v>218831</c:v>
                </c:pt>
                <c:pt idx="6">
                  <c:v>224524</c:v>
                </c:pt>
                <c:pt idx="7">
                  <c:v>226780</c:v>
                </c:pt>
                <c:pt idx="8">
                  <c:v>235765</c:v>
                </c:pt>
                <c:pt idx="9">
                  <c:v>239663</c:v>
                </c:pt>
                <c:pt idx="10">
                  <c:v>239077</c:v>
                </c:pt>
                <c:pt idx="11">
                  <c:v>238824</c:v>
                </c:pt>
                <c:pt idx="12">
                  <c:v>238423</c:v>
                </c:pt>
                <c:pt idx="13">
                  <c:v>237149</c:v>
                </c:pt>
                <c:pt idx="14">
                  <c:v>235512</c:v>
                </c:pt>
                <c:pt idx="15">
                  <c:v>237132</c:v>
                </c:pt>
                <c:pt idx="16">
                  <c:v>238291</c:v>
                </c:pt>
                <c:pt idx="17">
                  <c:v>239612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2-45C9-9A19-C52CC337BAC1}"/>
            </c:ext>
          </c:extLst>
        </c:ser>
        <c:ser>
          <c:idx val="1"/>
          <c:order val="1"/>
          <c:tx>
            <c:strRef>
              <c:f>'[1]Charts for Website'!$B$70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8EA2-45C9-9A19-C52CC337BAC1}"/>
              </c:ext>
            </c:extLst>
          </c:dPt>
          <c:cat>
            <c:numRef>
              <c:f>'[1]Charts for Website'!$C$68:$T$68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Website'!$C$70:$T$70</c:f>
              <c:numCache>
                <c:formatCode>General</c:formatCode>
                <c:ptCount val="18"/>
                <c:pt idx="0">
                  <c:v>221643</c:v>
                </c:pt>
                <c:pt idx="1">
                  <c:v>217001</c:v>
                </c:pt>
                <c:pt idx="2">
                  <c:v>219912</c:v>
                </c:pt>
                <c:pt idx="3">
                  <c:v>218473</c:v>
                </c:pt>
                <c:pt idx="4">
                  <c:v>220628</c:v>
                </c:pt>
                <c:pt idx="5">
                  <c:v>221782</c:v>
                </c:pt>
                <c:pt idx="6">
                  <c:v>227852</c:v>
                </c:pt>
                <c:pt idx="7">
                  <c:v>228230</c:v>
                </c:pt>
                <c:pt idx="8">
                  <c:v>230771</c:v>
                </c:pt>
                <c:pt idx="9">
                  <c:v>236489</c:v>
                </c:pt>
                <c:pt idx="10">
                  <c:v>237920</c:v>
                </c:pt>
                <c:pt idx="11">
                  <c:v>227433</c:v>
                </c:pt>
                <c:pt idx="12">
                  <c:v>183691</c:v>
                </c:pt>
                <c:pt idx="13">
                  <c:v>129861</c:v>
                </c:pt>
                <c:pt idx="14">
                  <c:v>98955</c:v>
                </c:pt>
                <c:pt idx="15">
                  <c:v>93056</c:v>
                </c:pt>
                <c:pt idx="16">
                  <c:v>86908</c:v>
                </c:pt>
                <c:pt idx="17">
                  <c:v>61006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2-45C9-9A19-C52CC337B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  <c:max val="3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Website'!$B$44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Website'!$C$43:$T$43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Website'!$C$44:$T$44</c:f>
              <c:numCache>
                <c:formatCode>General</c:formatCode>
                <c:ptCount val="18"/>
                <c:pt idx="0">
                  <c:v>17933</c:v>
                </c:pt>
                <c:pt idx="1">
                  <c:v>17711</c:v>
                </c:pt>
                <c:pt idx="2">
                  <c:v>17836</c:v>
                </c:pt>
                <c:pt idx="3">
                  <c:v>18203</c:v>
                </c:pt>
                <c:pt idx="4">
                  <c:v>18698</c:v>
                </c:pt>
                <c:pt idx="5">
                  <c:v>19333</c:v>
                </c:pt>
                <c:pt idx="6">
                  <c:v>19581</c:v>
                </c:pt>
                <c:pt idx="7">
                  <c:v>19372</c:v>
                </c:pt>
                <c:pt idx="8">
                  <c:v>19520</c:v>
                </c:pt>
                <c:pt idx="9">
                  <c:v>19600</c:v>
                </c:pt>
                <c:pt idx="10">
                  <c:v>19443</c:v>
                </c:pt>
                <c:pt idx="11">
                  <c:v>19629</c:v>
                </c:pt>
                <c:pt idx="12">
                  <c:v>21568</c:v>
                </c:pt>
                <c:pt idx="13">
                  <c:v>21872</c:v>
                </c:pt>
                <c:pt idx="14">
                  <c:v>21604</c:v>
                </c:pt>
                <c:pt idx="15">
                  <c:v>21636</c:v>
                </c:pt>
                <c:pt idx="16">
                  <c:v>22479</c:v>
                </c:pt>
                <c:pt idx="17">
                  <c:v>22661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5-4C05-BE35-CC4E135D7A83}"/>
            </c:ext>
          </c:extLst>
        </c:ser>
        <c:ser>
          <c:idx val="1"/>
          <c:order val="1"/>
          <c:tx>
            <c:strRef>
              <c:f>'[1]Charts for Website'!$B$45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44450" cap="rnd">
                <a:solidFill>
                  <a:srgbClr val="FFD60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85-4C05-BE35-CC4E135D7A83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44450" cap="rnd">
                <a:solidFill>
                  <a:srgbClr val="FFD60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085-4C05-BE35-CC4E135D7A83}"/>
              </c:ext>
            </c:extLst>
          </c:dPt>
          <c:cat>
            <c:numRef>
              <c:f>'[1]Charts for Website'!$C$43:$T$43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Website'!$C$45:$T$45</c:f>
              <c:numCache>
                <c:formatCode>General</c:formatCode>
                <c:ptCount val="18"/>
                <c:pt idx="0">
                  <c:v>17617</c:v>
                </c:pt>
                <c:pt idx="1">
                  <c:v>16980</c:v>
                </c:pt>
                <c:pt idx="2">
                  <c:v>17089</c:v>
                </c:pt>
                <c:pt idx="3">
                  <c:v>17282</c:v>
                </c:pt>
                <c:pt idx="4">
                  <c:v>17891</c:v>
                </c:pt>
                <c:pt idx="5">
                  <c:v>18568</c:v>
                </c:pt>
                <c:pt idx="6">
                  <c:v>18987</c:v>
                </c:pt>
                <c:pt idx="7">
                  <c:v>19013</c:v>
                </c:pt>
                <c:pt idx="8">
                  <c:v>18988</c:v>
                </c:pt>
                <c:pt idx="9">
                  <c:v>16561</c:v>
                </c:pt>
                <c:pt idx="10">
                  <c:v>15681</c:v>
                </c:pt>
                <c:pt idx="11">
                  <c:v>9123</c:v>
                </c:pt>
                <c:pt idx="12">
                  <c:v>5258</c:v>
                </c:pt>
                <c:pt idx="13">
                  <c:v>2040</c:v>
                </c:pt>
                <c:pt idx="14">
                  <c:v>1738</c:v>
                </c:pt>
                <c:pt idx="15">
                  <c:v>1463</c:v>
                </c:pt>
                <c:pt idx="16">
                  <c:v>1464</c:v>
                </c:pt>
                <c:pt idx="17">
                  <c:v>1700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085-4C05-BE35-CC4E135D7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FRANCE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9924210921675"/>
          <c:y val="2.1993630974902256E-2"/>
          <c:w val="0.81427839407637925"/>
          <c:h val="0.69496594778660614"/>
        </c:manualLayout>
      </c:layout>
      <c:lineChart>
        <c:grouping val="standard"/>
        <c:varyColors val="0"/>
        <c:ser>
          <c:idx val="0"/>
          <c:order val="0"/>
          <c:tx>
            <c:strRef>
              <c:f>'[1]Charts for Website'!$B$39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Website'!$C$38:$T$38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Website'!$C$39:$T$39</c:f>
              <c:numCache>
                <c:formatCode>General</c:formatCode>
                <c:ptCount val="18"/>
                <c:pt idx="0">
                  <c:v>12132</c:v>
                </c:pt>
                <c:pt idx="1">
                  <c:v>12036</c:v>
                </c:pt>
                <c:pt idx="2">
                  <c:v>12087</c:v>
                </c:pt>
                <c:pt idx="3">
                  <c:v>12183</c:v>
                </c:pt>
                <c:pt idx="4">
                  <c:v>12297</c:v>
                </c:pt>
                <c:pt idx="5">
                  <c:v>12545</c:v>
                </c:pt>
                <c:pt idx="6">
                  <c:v>12502</c:v>
                </c:pt>
                <c:pt idx="7">
                  <c:v>12539</c:v>
                </c:pt>
                <c:pt idx="8">
                  <c:v>12813</c:v>
                </c:pt>
                <c:pt idx="9">
                  <c:v>13078</c:v>
                </c:pt>
                <c:pt idx="10">
                  <c:v>12872</c:v>
                </c:pt>
                <c:pt idx="11">
                  <c:v>13111</c:v>
                </c:pt>
                <c:pt idx="12">
                  <c:v>14779</c:v>
                </c:pt>
                <c:pt idx="13">
                  <c:v>15130</c:v>
                </c:pt>
                <c:pt idx="14">
                  <c:v>15194</c:v>
                </c:pt>
                <c:pt idx="15">
                  <c:v>15257</c:v>
                </c:pt>
                <c:pt idx="16">
                  <c:v>15124</c:v>
                </c:pt>
                <c:pt idx="17">
                  <c:v>14876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99-47CF-9E04-50EFC6D268C3}"/>
            </c:ext>
          </c:extLst>
        </c:ser>
        <c:ser>
          <c:idx val="1"/>
          <c:order val="1"/>
          <c:tx>
            <c:strRef>
              <c:f>'[1]Charts for Website'!$B$40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C199-47CF-9E04-50EFC6D268C3}"/>
              </c:ext>
            </c:extLst>
          </c:dPt>
          <c:cat>
            <c:numRef>
              <c:f>'[1]Charts for Website'!$C$38:$T$38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Website'!$C$40:$T$40</c:f>
              <c:numCache>
                <c:formatCode>General</c:formatCode>
                <c:ptCount val="18"/>
                <c:pt idx="0">
                  <c:v>12298</c:v>
                </c:pt>
                <c:pt idx="1">
                  <c:v>11861</c:v>
                </c:pt>
                <c:pt idx="2">
                  <c:v>11858</c:v>
                </c:pt>
                <c:pt idx="3">
                  <c:v>12029</c:v>
                </c:pt>
                <c:pt idx="4">
                  <c:v>12260</c:v>
                </c:pt>
                <c:pt idx="5">
                  <c:v>12623</c:v>
                </c:pt>
                <c:pt idx="6">
                  <c:v>12709</c:v>
                </c:pt>
                <c:pt idx="7">
                  <c:v>12481</c:v>
                </c:pt>
                <c:pt idx="8">
                  <c:v>12555</c:v>
                </c:pt>
                <c:pt idx="9">
                  <c:v>12577</c:v>
                </c:pt>
                <c:pt idx="10">
                  <c:v>11113</c:v>
                </c:pt>
                <c:pt idx="11">
                  <c:v>7700</c:v>
                </c:pt>
                <c:pt idx="12">
                  <c:v>2747</c:v>
                </c:pt>
                <c:pt idx="13">
                  <c:v>1971</c:v>
                </c:pt>
                <c:pt idx="14">
                  <c:v>1206</c:v>
                </c:pt>
                <c:pt idx="15">
                  <c:v>1266</c:v>
                </c:pt>
                <c:pt idx="16">
                  <c:v>1245</c:v>
                </c:pt>
                <c:pt idx="17">
                  <c:v>1204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99-47CF-9E04-50EFC6D26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  <c:max val="22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SPAIN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Website'!$B$14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Website'!$C$13:$T$13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Website'!$C$14:$T$14</c:f>
              <c:numCache>
                <c:formatCode>General</c:formatCode>
                <c:ptCount val="18"/>
                <c:pt idx="0">
                  <c:v>14934</c:v>
                </c:pt>
                <c:pt idx="1">
                  <c:v>14513</c:v>
                </c:pt>
                <c:pt idx="2">
                  <c:v>14525</c:v>
                </c:pt>
                <c:pt idx="3">
                  <c:v>14605</c:v>
                </c:pt>
                <c:pt idx="4">
                  <c:v>14823</c:v>
                </c:pt>
                <c:pt idx="5">
                  <c:v>15179</c:v>
                </c:pt>
                <c:pt idx="6">
                  <c:v>15394</c:v>
                </c:pt>
                <c:pt idx="7">
                  <c:v>15861</c:v>
                </c:pt>
                <c:pt idx="8">
                  <c:v>15903</c:v>
                </c:pt>
                <c:pt idx="9">
                  <c:v>15842</c:v>
                </c:pt>
                <c:pt idx="10">
                  <c:v>15818</c:v>
                </c:pt>
                <c:pt idx="11">
                  <c:v>16008</c:v>
                </c:pt>
                <c:pt idx="12">
                  <c:v>18445</c:v>
                </c:pt>
                <c:pt idx="13">
                  <c:v>18981</c:v>
                </c:pt>
                <c:pt idx="14">
                  <c:v>19114</c:v>
                </c:pt>
                <c:pt idx="15">
                  <c:v>19417</c:v>
                </c:pt>
                <c:pt idx="16">
                  <c:v>19313</c:v>
                </c:pt>
                <c:pt idx="17">
                  <c:v>19519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6-4F19-B1CD-6538B7F918D4}"/>
            </c:ext>
          </c:extLst>
        </c:ser>
        <c:ser>
          <c:idx val="1"/>
          <c:order val="1"/>
          <c:tx>
            <c:strRef>
              <c:f>'[1]Charts for Website'!$B$15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F006-4F19-B1CD-6538B7F918D4}"/>
              </c:ext>
            </c:extLst>
          </c:dPt>
          <c:cat>
            <c:numRef>
              <c:f>'[1]Charts for Website'!$C$13:$T$13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Website'!$C$15:$T$15</c:f>
              <c:numCache>
                <c:formatCode>General</c:formatCode>
                <c:ptCount val="18"/>
                <c:pt idx="0">
                  <c:v>14763</c:v>
                </c:pt>
                <c:pt idx="1">
                  <c:v>13842</c:v>
                </c:pt>
                <c:pt idx="2">
                  <c:v>13830</c:v>
                </c:pt>
                <c:pt idx="3">
                  <c:v>13946</c:v>
                </c:pt>
                <c:pt idx="4">
                  <c:v>14260</c:v>
                </c:pt>
                <c:pt idx="5">
                  <c:v>14795</c:v>
                </c:pt>
                <c:pt idx="6">
                  <c:v>15486</c:v>
                </c:pt>
                <c:pt idx="7">
                  <c:v>15604</c:v>
                </c:pt>
                <c:pt idx="8">
                  <c:v>15673</c:v>
                </c:pt>
                <c:pt idx="9">
                  <c:v>15386</c:v>
                </c:pt>
                <c:pt idx="10">
                  <c:v>13647</c:v>
                </c:pt>
                <c:pt idx="11">
                  <c:v>4111</c:v>
                </c:pt>
                <c:pt idx="12">
                  <c:v>2124</c:v>
                </c:pt>
                <c:pt idx="13">
                  <c:v>1408</c:v>
                </c:pt>
                <c:pt idx="14">
                  <c:v>1100</c:v>
                </c:pt>
                <c:pt idx="15">
                  <c:v>959</c:v>
                </c:pt>
                <c:pt idx="16">
                  <c:v>1132</c:v>
                </c:pt>
                <c:pt idx="17">
                  <c:v>1506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006-4F19-B1CD-6538B7F918D4}"/>
            </c:ext>
          </c:extLst>
        </c:ser>
        <c:ser>
          <c:idx val="2"/>
          <c:order val="2"/>
          <c:tx>
            <c:strRef>
              <c:f>'[1]Charts for Website'!$B$16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Website'!$C$13:$T$13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Website'!$C$16:$T$16</c:f>
              <c:numCache>
                <c:formatCode>General</c:formatCode>
                <c:ptCount val="18"/>
                <c:pt idx="0">
                  <c:v>-1.1450381679389277E-2</c:v>
                </c:pt>
                <c:pt idx="1">
                  <c:v>-4.6234410528491643E-2</c:v>
                </c:pt>
                <c:pt idx="2">
                  <c:v>-4.7848537005163561E-2</c:v>
                </c:pt>
                <c:pt idx="3">
                  <c:v>-4.5121533721328322E-2</c:v>
                </c:pt>
                <c:pt idx="4">
                  <c:v>-3.7981515212844874E-2</c:v>
                </c:pt>
                <c:pt idx="5">
                  <c:v>-2.5298109229857091E-2</c:v>
                </c:pt>
                <c:pt idx="6">
                  <c:v>5.9763544238013999E-3</c:v>
                </c:pt>
                <c:pt idx="7">
                  <c:v>-1.6203265872265282E-2</c:v>
                </c:pt>
                <c:pt idx="8">
                  <c:v>-1.446267999748474E-2</c:v>
                </c:pt>
                <c:pt idx="9">
                  <c:v>-2.8784244413584181E-2</c:v>
                </c:pt>
                <c:pt idx="10">
                  <c:v>-0.13724870400809208</c:v>
                </c:pt>
                <c:pt idx="11">
                  <c:v>-0.74319090454772607</c:v>
                </c:pt>
                <c:pt idx="12">
                  <c:v>-0.88484684196259145</c:v>
                </c:pt>
                <c:pt idx="13">
                  <c:v>-0.92582055739950475</c:v>
                </c:pt>
                <c:pt idx="14">
                  <c:v>-0.94245055979910008</c:v>
                </c:pt>
                <c:pt idx="15">
                  <c:v>-0.95061028995210384</c:v>
                </c:pt>
                <c:pt idx="16">
                  <c:v>-0.94138663076684104</c:v>
                </c:pt>
                <c:pt idx="17">
                  <c:v>-0.92284440801270562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06-4F19-B1CD-6538B7F91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  <c:max val="22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AUSTRALIA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Website'!$B$49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Website'!$C$48:$T$48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Website'!$C$49:$T$49</c:f>
              <c:numCache>
                <c:formatCode>General</c:formatCode>
                <c:ptCount val="18"/>
                <c:pt idx="0">
                  <c:v>14388</c:v>
                </c:pt>
                <c:pt idx="1">
                  <c:v>14607</c:v>
                </c:pt>
                <c:pt idx="2">
                  <c:v>14570</c:v>
                </c:pt>
                <c:pt idx="3">
                  <c:v>14780</c:v>
                </c:pt>
                <c:pt idx="4">
                  <c:v>14946</c:v>
                </c:pt>
                <c:pt idx="5">
                  <c:v>14999</c:v>
                </c:pt>
                <c:pt idx="6">
                  <c:v>15011</c:v>
                </c:pt>
                <c:pt idx="7">
                  <c:v>15084</c:v>
                </c:pt>
                <c:pt idx="8">
                  <c:v>14937</c:v>
                </c:pt>
                <c:pt idx="9">
                  <c:v>15061</c:v>
                </c:pt>
                <c:pt idx="10">
                  <c:v>15040</c:v>
                </c:pt>
                <c:pt idx="11">
                  <c:v>14748</c:v>
                </c:pt>
                <c:pt idx="12">
                  <c:v>15101</c:v>
                </c:pt>
                <c:pt idx="13">
                  <c:v>15535</c:v>
                </c:pt>
                <c:pt idx="14">
                  <c:v>14761</c:v>
                </c:pt>
                <c:pt idx="15">
                  <c:v>14204</c:v>
                </c:pt>
                <c:pt idx="16">
                  <c:v>15110</c:v>
                </c:pt>
                <c:pt idx="17">
                  <c:v>14881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4-4BB7-8C84-D3FDE34802BB}"/>
            </c:ext>
          </c:extLst>
        </c:ser>
        <c:ser>
          <c:idx val="1"/>
          <c:order val="1"/>
          <c:tx>
            <c:strRef>
              <c:f>'[1]Charts for Website'!$B$50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4B34-4BB7-8C84-D3FDE34802BB}"/>
              </c:ext>
            </c:extLst>
          </c:dPt>
          <c:cat>
            <c:numRef>
              <c:f>'[1]Charts for Website'!$C$48:$T$48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Website'!$C$50:$T$50</c:f>
              <c:numCache>
                <c:formatCode>General</c:formatCode>
                <c:ptCount val="18"/>
                <c:pt idx="0">
                  <c:v>13903</c:v>
                </c:pt>
                <c:pt idx="1">
                  <c:v>14116</c:v>
                </c:pt>
                <c:pt idx="2">
                  <c:v>14104</c:v>
                </c:pt>
                <c:pt idx="3">
                  <c:v>14209</c:v>
                </c:pt>
                <c:pt idx="4">
                  <c:v>14407</c:v>
                </c:pt>
                <c:pt idx="5">
                  <c:v>14252</c:v>
                </c:pt>
                <c:pt idx="6">
                  <c:v>14763</c:v>
                </c:pt>
                <c:pt idx="7">
                  <c:v>14713</c:v>
                </c:pt>
                <c:pt idx="8">
                  <c:v>14678</c:v>
                </c:pt>
                <c:pt idx="9">
                  <c:v>14710</c:v>
                </c:pt>
                <c:pt idx="10">
                  <c:v>14607</c:v>
                </c:pt>
                <c:pt idx="11">
                  <c:v>12401</c:v>
                </c:pt>
                <c:pt idx="12">
                  <c:v>5567</c:v>
                </c:pt>
                <c:pt idx="13">
                  <c:v>3409</c:v>
                </c:pt>
                <c:pt idx="14">
                  <c:v>2268</c:v>
                </c:pt>
                <c:pt idx="15">
                  <c:v>2314</c:v>
                </c:pt>
                <c:pt idx="16">
                  <c:v>2364</c:v>
                </c:pt>
                <c:pt idx="17">
                  <c:v>2529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B34-4BB7-8C84-D3FDE3480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  <c:max val="18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SINGAPORE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Website'!$B$29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Website'!$C$28:$T$28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Website'!$C$29:$T$29</c:f>
              <c:numCache>
                <c:formatCode>General</c:formatCode>
                <c:ptCount val="18"/>
                <c:pt idx="0">
                  <c:v>3903</c:v>
                </c:pt>
                <c:pt idx="1">
                  <c:v>3876</c:v>
                </c:pt>
                <c:pt idx="2">
                  <c:v>3906</c:v>
                </c:pt>
                <c:pt idx="3">
                  <c:v>3978</c:v>
                </c:pt>
                <c:pt idx="4">
                  <c:v>4034</c:v>
                </c:pt>
                <c:pt idx="5">
                  <c:v>3973</c:v>
                </c:pt>
                <c:pt idx="6">
                  <c:v>3941</c:v>
                </c:pt>
                <c:pt idx="7">
                  <c:v>3912</c:v>
                </c:pt>
                <c:pt idx="8">
                  <c:v>3880</c:v>
                </c:pt>
                <c:pt idx="9">
                  <c:v>3901</c:v>
                </c:pt>
                <c:pt idx="10">
                  <c:v>3719</c:v>
                </c:pt>
                <c:pt idx="11">
                  <c:v>3707</c:v>
                </c:pt>
                <c:pt idx="12">
                  <c:v>3727</c:v>
                </c:pt>
                <c:pt idx="13">
                  <c:v>3728</c:v>
                </c:pt>
                <c:pt idx="14">
                  <c:v>3734</c:v>
                </c:pt>
                <c:pt idx="15">
                  <c:v>3762</c:v>
                </c:pt>
                <c:pt idx="16">
                  <c:v>3767</c:v>
                </c:pt>
                <c:pt idx="17">
                  <c:v>3674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E0-4506-BFF8-BAF596945C13}"/>
            </c:ext>
          </c:extLst>
        </c:ser>
        <c:ser>
          <c:idx val="1"/>
          <c:order val="1"/>
          <c:tx>
            <c:strRef>
              <c:f>'[1]Charts for Website'!$B$30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9AE0-4506-BFF8-BAF596945C13}"/>
              </c:ext>
            </c:extLst>
          </c:dPt>
          <c:cat>
            <c:numRef>
              <c:f>'[1]Charts for Website'!$C$28:$T$28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Website'!$C$30:$T$30</c:f>
              <c:numCache>
                <c:formatCode>General</c:formatCode>
                <c:ptCount val="18"/>
                <c:pt idx="0">
                  <c:v>3862</c:v>
                </c:pt>
                <c:pt idx="1">
                  <c:v>3871</c:v>
                </c:pt>
                <c:pt idx="2">
                  <c:v>3952</c:v>
                </c:pt>
                <c:pt idx="3">
                  <c:v>3967</c:v>
                </c:pt>
                <c:pt idx="4">
                  <c:v>3704</c:v>
                </c:pt>
                <c:pt idx="5">
                  <c:v>3360</c:v>
                </c:pt>
                <c:pt idx="6">
                  <c:v>3211</c:v>
                </c:pt>
                <c:pt idx="7">
                  <c:v>3035</c:v>
                </c:pt>
                <c:pt idx="8">
                  <c:v>2894</c:v>
                </c:pt>
                <c:pt idx="9">
                  <c:v>2510</c:v>
                </c:pt>
                <c:pt idx="10">
                  <c:v>2399</c:v>
                </c:pt>
                <c:pt idx="11">
                  <c:v>855</c:v>
                </c:pt>
                <c:pt idx="12">
                  <c:v>343</c:v>
                </c:pt>
                <c:pt idx="13">
                  <c:v>377</c:v>
                </c:pt>
                <c:pt idx="14">
                  <c:v>281</c:v>
                </c:pt>
                <c:pt idx="15">
                  <c:v>109</c:v>
                </c:pt>
                <c:pt idx="16">
                  <c:v>156</c:v>
                </c:pt>
                <c:pt idx="17">
                  <c:v>110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9AE0-4506-BFF8-BAF596945C13}"/>
            </c:ext>
          </c:extLst>
        </c:ser>
        <c:ser>
          <c:idx val="2"/>
          <c:order val="2"/>
          <c:tx>
            <c:strRef>
              <c:f>'[1]Charts for Website'!$B$31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Website'!$C$28:$T$28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Website'!$C$31:$T$31</c:f>
              <c:numCache>
                <c:formatCode>General</c:formatCode>
                <c:ptCount val="18"/>
                <c:pt idx="0">
                  <c:v>-1.0504739943633101E-2</c:v>
                </c:pt>
                <c:pt idx="1">
                  <c:v>-1.2899896800825372E-3</c:v>
                </c:pt>
                <c:pt idx="2">
                  <c:v>1.177675371223752E-2</c:v>
                </c:pt>
                <c:pt idx="3">
                  <c:v>-2.7652086475615789E-3</c:v>
                </c:pt>
                <c:pt idx="4">
                  <c:v>-8.1804660386712968E-2</c:v>
                </c:pt>
                <c:pt idx="5">
                  <c:v>-0.15429146740498367</c:v>
                </c:pt>
                <c:pt idx="6">
                  <c:v>-0.18523217457498098</c:v>
                </c:pt>
                <c:pt idx="7">
                  <c:v>-0.22418200408997957</c:v>
                </c:pt>
                <c:pt idx="8">
                  <c:v>-0.25412371134020617</c:v>
                </c:pt>
                <c:pt idx="9">
                  <c:v>-0.35657523711868755</c:v>
                </c:pt>
                <c:pt idx="10">
                  <c:v>-0.35493412207582686</c:v>
                </c:pt>
                <c:pt idx="11">
                  <c:v>-0.76935527380631241</c:v>
                </c:pt>
                <c:pt idx="12">
                  <c:v>-0.90796887577139795</c:v>
                </c:pt>
                <c:pt idx="13">
                  <c:v>-0.89887339055793991</c:v>
                </c:pt>
                <c:pt idx="14">
                  <c:v>-0.92474558114622385</c:v>
                </c:pt>
                <c:pt idx="15">
                  <c:v>-0.97102604997341835</c:v>
                </c:pt>
                <c:pt idx="16">
                  <c:v>-0.95858773559861954</c:v>
                </c:pt>
                <c:pt idx="17">
                  <c:v>-0.97005988023952094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E0-4506-BFF8-BAF596945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SWEDEN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Website'!$B$54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Website'!$C$53:$T$53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Website'!$C$54:$T$54</c:f>
              <c:numCache>
                <c:formatCode>General</c:formatCode>
                <c:ptCount val="18"/>
                <c:pt idx="0">
                  <c:v>4188</c:v>
                </c:pt>
                <c:pt idx="1">
                  <c:v>4289</c:v>
                </c:pt>
                <c:pt idx="2">
                  <c:v>4397</c:v>
                </c:pt>
                <c:pt idx="3">
                  <c:v>4444</c:v>
                </c:pt>
                <c:pt idx="4">
                  <c:v>4532</c:v>
                </c:pt>
                <c:pt idx="5">
                  <c:v>4474</c:v>
                </c:pt>
                <c:pt idx="6">
                  <c:v>4475</c:v>
                </c:pt>
                <c:pt idx="7">
                  <c:v>4385</c:v>
                </c:pt>
                <c:pt idx="8">
                  <c:v>4668</c:v>
                </c:pt>
                <c:pt idx="9">
                  <c:v>4763</c:v>
                </c:pt>
                <c:pt idx="10">
                  <c:v>4763</c:v>
                </c:pt>
                <c:pt idx="11">
                  <c:v>4752</c:v>
                </c:pt>
                <c:pt idx="12">
                  <c:v>4909</c:v>
                </c:pt>
                <c:pt idx="13">
                  <c:v>4896</c:v>
                </c:pt>
                <c:pt idx="14">
                  <c:v>4069</c:v>
                </c:pt>
                <c:pt idx="15">
                  <c:v>4554</c:v>
                </c:pt>
                <c:pt idx="16">
                  <c:v>4212</c:v>
                </c:pt>
                <c:pt idx="17">
                  <c:v>4921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3-4253-814F-968820F994E4}"/>
            </c:ext>
          </c:extLst>
        </c:ser>
        <c:ser>
          <c:idx val="1"/>
          <c:order val="1"/>
          <c:tx>
            <c:strRef>
              <c:f>'[1]Charts for Website'!$B$55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DE13-4253-814F-968820F994E4}"/>
              </c:ext>
            </c:extLst>
          </c:dPt>
          <c:cat>
            <c:numRef>
              <c:f>'[1]Charts for Website'!$C$53:$T$53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Website'!$C$55:$T$55</c:f>
              <c:numCache>
                <c:formatCode>General</c:formatCode>
                <c:ptCount val="18"/>
                <c:pt idx="0">
                  <c:v>3608</c:v>
                </c:pt>
                <c:pt idx="1">
                  <c:v>3926</c:v>
                </c:pt>
                <c:pt idx="2">
                  <c:v>4054</c:v>
                </c:pt>
                <c:pt idx="3">
                  <c:v>4134</c:v>
                </c:pt>
                <c:pt idx="4">
                  <c:v>4274</c:v>
                </c:pt>
                <c:pt idx="5">
                  <c:v>4232</c:v>
                </c:pt>
                <c:pt idx="6">
                  <c:v>4188</c:v>
                </c:pt>
                <c:pt idx="7">
                  <c:v>4169</c:v>
                </c:pt>
                <c:pt idx="8">
                  <c:v>4445</c:v>
                </c:pt>
                <c:pt idx="9">
                  <c:v>4460</c:v>
                </c:pt>
                <c:pt idx="10">
                  <c:v>4092</c:v>
                </c:pt>
                <c:pt idx="11">
                  <c:v>1647</c:v>
                </c:pt>
                <c:pt idx="12">
                  <c:v>1126</c:v>
                </c:pt>
                <c:pt idx="13">
                  <c:v>775</c:v>
                </c:pt>
                <c:pt idx="14">
                  <c:v>635</c:v>
                </c:pt>
                <c:pt idx="15">
                  <c:v>457</c:v>
                </c:pt>
                <c:pt idx="16">
                  <c:v>430</c:v>
                </c:pt>
                <c:pt idx="17">
                  <c:v>565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E13-4253-814F-968820F99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UNITED ARAB EMIRATES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Website'!$B$59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Website'!$C$58:$T$58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Website'!$C$59:$T$59</c:f>
              <c:numCache>
                <c:formatCode>General</c:formatCode>
                <c:ptCount val="18"/>
                <c:pt idx="0">
                  <c:v>6067</c:v>
                </c:pt>
                <c:pt idx="1">
                  <c:v>5918</c:v>
                </c:pt>
                <c:pt idx="2">
                  <c:v>5874</c:v>
                </c:pt>
                <c:pt idx="3">
                  <c:v>5871</c:v>
                </c:pt>
                <c:pt idx="4">
                  <c:v>5836</c:v>
                </c:pt>
                <c:pt idx="5">
                  <c:v>5824</c:v>
                </c:pt>
                <c:pt idx="6">
                  <c:v>5855</c:v>
                </c:pt>
                <c:pt idx="7">
                  <c:v>5858</c:v>
                </c:pt>
                <c:pt idx="8">
                  <c:v>5848</c:v>
                </c:pt>
                <c:pt idx="9">
                  <c:v>5841</c:v>
                </c:pt>
                <c:pt idx="10">
                  <c:v>5857</c:v>
                </c:pt>
                <c:pt idx="11">
                  <c:v>5706</c:v>
                </c:pt>
                <c:pt idx="12">
                  <c:v>5671</c:v>
                </c:pt>
                <c:pt idx="13">
                  <c:v>5660</c:v>
                </c:pt>
                <c:pt idx="14">
                  <c:v>5102</c:v>
                </c:pt>
                <c:pt idx="15">
                  <c:v>5028</c:v>
                </c:pt>
                <c:pt idx="16">
                  <c:v>4968</c:v>
                </c:pt>
                <c:pt idx="17">
                  <c:v>4872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1-43BE-9135-D0D7021CA381}"/>
            </c:ext>
          </c:extLst>
        </c:ser>
        <c:ser>
          <c:idx val="1"/>
          <c:order val="1"/>
          <c:tx>
            <c:strRef>
              <c:f>'[1]Charts for Website'!$B$60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2B71-43BE-9135-D0D7021CA381}"/>
              </c:ext>
            </c:extLst>
          </c:dPt>
          <c:cat>
            <c:numRef>
              <c:f>'[1]Charts for Website'!$C$58:$T$58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Website'!$C$60:$T$60</c:f>
              <c:numCache>
                <c:formatCode>General</c:formatCode>
                <c:ptCount val="18"/>
                <c:pt idx="0">
                  <c:v>5921</c:v>
                </c:pt>
                <c:pt idx="1">
                  <c:v>5837</c:v>
                </c:pt>
                <c:pt idx="2">
                  <c:v>5768</c:v>
                </c:pt>
                <c:pt idx="3">
                  <c:v>5745</c:v>
                </c:pt>
                <c:pt idx="4">
                  <c:v>5723</c:v>
                </c:pt>
                <c:pt idx="5">
                  <c:v>5629</c:v>
                </c:pt>
                <c:pt idx="6">
                  <c:v>5649</c:v>
                </c:pt>
                <c:pt idx="7">
                  <c:v>5663</c:v>
                </c:pt>
                <c:pt idx="8">
                  <c:v>5677</c:v>
                </c:pt>
                <c:pt idx="9">
                  <c:v>5354</c:v>
                </c:pt>
                <c:pt idx="10">
                  <c:v>4426</c:v>
                </c:pt>
                <c:pt idx="11">
                  <c:v>2420</c:v>
                </c:pt>
                <c:pt idx="12">
                  <c:v>808</c:v>
                </c:pt>
                <c:pt idx="13">
                  <c:v>883</c:v>
                </c:pt>
                <c:pt idx="14">
                  <c:v>1098</c:v>
                </c:pt>
                <c:pt idx="15">
                  <c:v>1019</c:v>
                </c:pt>
                <c:pt idx="16">
                  <c:v>925</c:v>
                </c:pt>
                <c:pt idx="17">
                  <c:v>1068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B71-43BE-9135-D0D7021CA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'[1]Charts for Website'!$B$74</c:f>
              <c:strCache>
                <c:ptCount val="1"/>
                <c:pt idx="0">
                  <c:v>2019</c:v>
                </c:pt>
              </c:strCache>
            </c:strRef>
          </c:tx>
          <c:spPr>
            <a:ln w="444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'[1]Charts for Website'!$C$73:$T$73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Website'!$C$74:$T$74</c:f>
              <c:numCache>
                <c:formatCode>General</c:formatCode>
                <c:ptCount val="18"/>
                <c:pt idx="0">
                  <c:v>30012</c:v>
                </c:pt>
                <c:pt idx="1">
                  <c:v>29896</c:v>
                </c:pt>
                <c:pt idx="2">
                  <c:v>29531</c:v>
                </c:pt>
                <c:pt idx="3">
                  <c:v>30167</c:v>
                </c:pt>
                <c:pt idx="4">
                  <c:v>29719</c:v>
                </c:pt>
                <c:pt idx="5">
                  <c:v>28783</c:v>
                </c:pt>
                <c:pt idx="6">
                  <c:v>27800</c:v>
                </c:pt>
                <c:pt idx="7">
                  <c:v>29032</c:v>
                </c:pt>
                <c:pt idx="8">
                  <c:v>28275</c:v>
                </c:pt>
                <c:pt idx="9">
                  <c:v>28025</c:v>
                </c:pt>
                <c:pt idx="10">
                  <c:v>27775</c:v>
                </c:pt>
                <c:pt idx="11">
                  <c:v>26686</c:v>
                </c:pt>
                <c:pt idx="12">
                  <c:v>26861</c:v>
                </c:pt>
                <c:pt idx="13">
                  <c:v>27062</c:v>
                </c:pt>
                <c:pt idx="14">
                  <c:v>27105</c:v>
                </c:pt>
                <c:pt idx="15">
                  <c:v>27297</c:v>
                </c:pt>
                <c:pt idx="16">
                  <c:v>27100</c:v>
                </c:pt>
                <c:pt idx="17">
                  <c:v>27358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5-4039-B7E8-AB2D37CFE138}"/>
            </c:ext>
          </c:extLst>
        </c:ser>
        <c:ser>
          <c:idx val="1"/>
          <c:order val="1"/>
          <c:tx>
            <c:strRef>
              <c:f>'[1]Charts for Website'!$B$75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FD602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7145-4039-B7E8-AB2D37CFE138}"/>
              </c:ext>
            </c:extLst>
          </c:dPt>
          <c:cat>
            <c:numRef>
              <c:f>'[1]Charts for Website'!$C$73:$T$73</c:f>
              <c:numCache>
                <c:formatCode>General</c:formatCode>
                <c:ptCount val="18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</c:numCache>
            </c:numRef>
          </c:cat>
          <c:val>
            <c:numRef>
              <c:f>'[1]Charts for Website'!$C$75:$T$75</c:f>
              <c:numCache>
                <c:formatCode>General</c:formatCode>
                <c:ptCount val="18"/>
                <c:pt idx="0">
                  <c:v>30881</c:v>
                </c:pt>
                <c:pt idx="1">
                  <c:v>30732</c:v>
                </c:pt>
                <c:pt idx="2">
                  <c:v>29996</c:v>
                </c:pt>
                <c:pt idx="3">
                  <c:v>30514</c:v>
                </c:pt>
                <c:pt idx="4">
                  <c:v>30283</c:v>
                </c:pt>
                <c:pt idx="5">
                  <c:v>30578</c:v>
                </c:pt>
                <c:pt idx="6">
                  <c:v>30796</c:v>
                </c:pt>
                <c:pt idx="7">
                  <c:v>30965</c:v>
                </c:pt>
                <c:pt idx="8">
                  <c:v>31071</c:v>
                </c:pt>
                <c:pt idx="9">
                  <c:v>30814</c:v>
                </c:pt>
                <c:pt idx="10">
                  <c:v>30082</c:v>
                </c:pt>
                <c:pt idx="11">
                  <c:v>27170</c:v>
                </c:pt>
                <c:pt idx="12">
                  <c:v>8589</c:v>
                </c:pt>
                <c:pt idx="13">
                  <c:v>7833</c:v>
                </c:pt>
                <c:pt idx="14">
                  <c:v>5436</c:v>
                </c:pt>
                <c:pt idx="15">
                  <c:v>3147</c:v>
                </c:pt>
                <c:pt idx="16">
                  <c:v>1740</c:v>
                </c:pt>
                <c:pt idx="17">
                  <c:v>2491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145-4039-B7E8-AB2D37CFE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80624"/>
        <c:axId val="613484560"/>
        <c:extLst/>
      </c:lineChart>
      <c:catAx>
        <c:axId val="6134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4560"/>
        <c:crosses val="autoZero"/>
        <c:auto val="1"/>
        <c:lblAlgn val="ctr"/>
        <c:lblOffset val="100"/>
        <c:noMultiLvlLbl val="1"/>
      </c:catAx>
      <c:valAx>
        <c:axId val="613484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80624"/>
        <c:crosses val="autoZero"/>
        <c:crossBetween val="between"/>
      </c:valAx>
      <c:spPr>
        <a:noFill/>
        <a:ln w="4445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image" Target="../media/image1.png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503465</xdr:colOff>
      <xdr:row>1</xdr:row>
      <xdr:rowOff>69397</xdr:rowOff>
    </xdr:from>
    <xdr:to>
      <xdr:col>12</xdr:col>
      <xdr:colOff>527771</xdr:colOff>
      <xdr:row>3</xdr:row>
      <xdr:rowOff>173156</xdr:rowOff>
    </xdr:to>
    <xdr:pic>
      <xdr:nvPicPr>
        <xdr:cNvPr id="2" name="chart">
          <a:extLst>
            <a:ext uri="{FF2B5EF4-FFF2-40B4-BE49-F238E27FC236}">
              <a16:creationId xmlns:a16="http://schemas.microsoft.com/office/drawing/2014/main" id="{F926E3A5-6CE2-487A-A221-45188977E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46179" y="259897"/>
          <a:ext cx="895163" cy="5301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2</xdr:col>
      <xdr:colOff>296559</xdr:colOff>
      <xdr:row>65</xdr:row>
      <xdr:rowOff>49405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E7207A-B089-4912-B5B5-901D62A36FDF}"/>
            </a:ext>
          </a:extLst>
        </xdr:cNvPr>
        <xdr:cNvSpPr txBox="1"/>
      </xdr:nvSpPr>
      <xdr:spPr>
        <a:xfrm>
          <a:off x="0" y="11910786"/>
          <a:ext cx="3108702" cy="23083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900">
              <a:solidFill>
                <a:sysClr val="windowText" lastClr="000000"/>
              </a:solidFill>
              <a:latin typeface="DIN Condensed" panose="020B0606040000020204" pitchFamily="34" charset="0"/>
              <a:ea typeface="DIN Condensed" panose="020B0606040000020204" pitchFamily="34" charset="0"/>
            </a:rPr>
            <a:t>© 2020 OAG Aviation Worldwide Limited. All rights reserved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603249</xdr:colOff>
      <xdr:row>10</xdr:row>
      <xdr:rowOff>0</xdr:rowOff>
    </xdr:from>
    <xdr:to>
      <xdr:col>31</xdr:col>
      <xdr:colOff>333374</xdr:colOff>
      <xdr:row>26</xdr:row>
      <xdr:rowOff>123600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95041DE0-5812-45D4-90DA-6331B42E6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455612</xdr:colOff>
      <xdr:row>86</xdr:row>
      <xdr:rowOff>85725</xdr:rowOff>
    </xdr:from>
    <xdr:to>
      <xdr:col>51</xdr:col>
      <xdr:colOff>186712</xdr:colOff>
      <xdr:row>103</xdr:row>
      <xdr:rowOff>18825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9B02D2AA-4B92-40D2-BFAE-4A4DC844E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428625</xdr:colOff>
      <xdr:row>67</xdr:row>
      <xdr:rowOff>95250</xdr:rowOff>
    </xdr:from>
    <xdr:to>
      <xdr:col>51</xdr:col>
      <xdr:colOff>159725</xdr:colOff>
      <xdr:row>84</xdr:row>
      <xdr:rowOff>28350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EAEFE335-3486-46C9-9420-5BAE2DC7D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571500</xdr:colOff>
      <xdr:row>106</xdr:row>
      <xdr:rowOff>142876</xdr:rowOff>
    </xdr:from>
    <xdr:to>
      <xdr:col>31</xdr:col>
      <xdr:colOff>302600</xdr:colOff>
      <xdr:row>123</xdr:row>
      <xdr:rowOff>75976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43F10DEE-BB3B-4C8D-809A-EDD6BA4D9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600073</xdr:colOff>
      <xdr:row>9</xdr:row>
      <xdr:rowOff>161925</xdr:rowOff>
    </xdr:from>
    <xdr:to>
      <xdr:col>51</xdr:col>
      <xdr:colOff>331173</xdr:colOff>
      <xdr:row>26</xdr:row>
      <xdr:rowOff>95025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2D60AD7A-6747-455D-B10F-81D747489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428625</xdr:colOff>
      <xdr:row>29</xdr:row>
      <xdr:rowOff>47625</xdr:rowOff>
    </xdr:from>
    <xdr:to>
      <xdr:col>51</xdr:col>
      <xdr:colOff>159725</xdr:colOff>
      <xdr:row>45</xdr:row>
      <xdr:rowOff>171225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CEAD5AD-22CD-4663-A507-7F03358A2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523875</xdr:colOff>
      <xdr:row>29</xdr:row>
      <xdr:rowOff>23812</xdr:rowOff>
    </xdr:from>
    <xdr:to>
      <xdr:col>31</xdr:col>
      <xdr:colOff>254975</xdr:colOff>
      <xdr:row>45</xdr:row>
      <xdr:rowOff>147412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C1EA89A6-8046-4861-B702-E9C650D2D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571499</xdr:colOff>
      <xdr:row>87</xdr:row>
      <xdr:rowOff>95251</xdr:rowOff>
    </xdr:from>
    <xdr:to>
      <xdr:col>31</xdr:col>
      <xdr:colOff>302599</xdr:colOff>
      <xdr:row>104</xdr:row>
      <xdr:rowOff>28351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722BEF8C-065B-44A5-9964-6957A8C83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47625</xdr:colOff>
      <xdr:row>48</xdr:row>
      <xdr:rowOff>23812</xdr:rowOff>
    </xdr:from>
    <xdr:to>
      <xdr:col>41</xdr:col>
      <xdr:colOff>381975</xdr:colOff>
      <xdr:row>64</xdr:row>
      <xdr:rowOff>147412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B3F9CB13-676A-43FA-999F-9B1D5D725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547688</xdr:colOff>
      <xdr:row>48</xdr:row>
      <xdr:rowOff>95250</xdr:rowOff>
    </xdr:from>
    <xdr:to>
      <xdr:col>31</xdr:col>
      <xdr:colOff>278788</xdr:colOff>
      <xdr:row>65</xdr:row>
      <xdr:rowOff>28350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32408394-1C84-4135-AC91-E20B148AF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38101</xdr:colOff>
      <xdr:row>10</xdr:row>
      <xdr:rowOff>0</xdr:rowOff>
    </xdr:from>
    <xdr:to>
      <xdr:col>41</xdr:col>
      <xdr:colOff>372451</xdr:colOff>
      <xdr:row>26</xdr:row>
      <xdr:rowOff>123600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86A5CD51-7CA8-47A6-9942-B476C47CA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41</xdr:col>
      <xdr:colOff>380999</xdr:colOff>
      <xdr:row>48</xdr:row>
      <xdr:rowOff>23812</xdr:rowOff>
    </xdr:from>
    <xdr:to>
      <xdr:col>51</xdr:col>
      <xdr:colOff>112099</xdr:colOff>
      <xdr:row>64</xdr:row>
      <xdr:rowOff>147412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CF2853B4-0FD1-43B0-9CDC-7BBEC637A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32</xdr:col>
      <xdr:colOff>23812</xdr:colOff>
      <xdr:row>29</xdr:row>
      <xdr:rowOff>71438</xdr:rowOff>
    </xdr:from>
    <xdr:to>
      <xdr:col>41</xdr:col>
      <xdr:colOff>358162</xdr:colOff>
      <xdr:row>46</xdr:row>
      <xdr:rowOff>4538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70ACB2F2-61C9-4E8C-AA40-A5AC6AA52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595311</xdr:colOff>
      <xdr:row>67</xdr:row>
      <xdr:rowOff>119063</xdr:rowOff>
    </xdr:from>
    <xdr:to>
      <xdr:col>31</xdr:col>
      <xdr:colOff>326411</xdr:colOff>
      <xdr:row>84</xdr:row>
      <xdr:rowOff>52163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7291592-F647-40E4-818E-79A5C806F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47625</xdr:colOff>
      <xdr:row>67</xdr:row>
      <xdr:rowOff>119062</xdr:rowOff>
    </xdr:from>
    <xdr:to>
      <xdr:col>41</xdr:col>
      <xdr:colOff>381975</xdr:colOff>
      <xdr:row>84</xdr:row>
      <xdr:rowOff>52162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110255B1-9C8E-4905-808F-31C0B192A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32</xdr:col>
      <xdr:colOff>23813</xdr:colOff>
      <xdr:row>86</xdr:row>
      <xdr:rowOff>180975</xdr:rowOff>
    </xdr:from>
    <xdr:to>
      <xdr:col>41</xdr:col>
      <xdr:colOff>358163</xdr:colOff>
      <xdr:row>103</xdr:row>
      <xdr:rowOff>114075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DA9587DC-6E0C-4B46-B748-8AAA5D90B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2</xdr:col>
      <xdr:colOff>949702</xdr:colOff>
      <xdr:row>92</xdr:row>
      <xdr:rowOff>49404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827F7A6-1594-4E51-B9EC-22CAC19FA606}"/>
            </a:ext>
          </a:extLst>
        </xdr:cNvPr>
        <xdr:cNvSpPr txBox="1"/>
      </xdr:nvSpPr>
      <xdr:spPr>
        <a:xfrm>
          <a:off x="0" y="15965714"/>
          <a:ext cx="3108702" cy="23083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900">
              <a:solidFill>
                <a:sysClr val="windowText" lastClr="000000"/>
              </a:solidFill>
              <a:latin typeface="DIN Condensed" panose="020B0606040000020204" pitchFamily="34" charset="0"/>
              <a:ea typeface="DIN Condensed" panose="020B0606040000020204" pitchFamily="34" charset="0"/>
            </a:rPr>
            <a:t>© 2020 OAG Aviation Worldwide Limited. All rights reserved </a:t>
          </a:r>
        </a:p>
      </xdr:txBody>
    </xdr:sp>
    <xdr:clientData/>
  </xdr:twoCellAnchor>
  <xdr:twoCellAnchor editAs="oneCell">
    <xdr:from>
      <xdr:col>18</xdr:col>
      <xdr:colOff>335638</xdr:colOff>
      <xdr:row>0</xdr:row>
      <xdr:rowOff>45358</xdr:rowOff>
    </xdr:from>
    <xdr:to>
      <xdr:col>19</xdr:col>
      <xdr:colOff>895158</xdr:colOff>
      <xdr:row>3</xdr:row>
      <xdr:rowOff>161603</xdr:rowOff>
    </xdr:to>
    <xdr:pic>
      <xdr:nvPicPr>
        <xdr:cNvPr id="19" name="chart">
          <a:extLst>
            <a:ext uri="{FF2B5EF4-FFF2-40B4-BE49-F238E27FC236}">
              <a16:creationId xmlns:a16="http://schemas.microsoft.com/office/drawing/2014/main" id="{105E887F-0877-4DAB-B99F-BEC80CE7F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315209" y="45358"/>
          <a:ext cx="1548306" cy="851031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0.80786</cdr:x>
      <cdr:y>0.03432</cdr:y>
    </cdr:from>
    <cdr:to>
      <cdr:x>0.97134</cdr:x>
      <cdr:y>0.21091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C4880EE-07CE-458E-859A-7F10CFBAAB1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27716" y="108857"/>
          <a:ext cx="815068" cy="560075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ebecca\Dropbox\COVID-19\Tracking%20the%20Impact\WEEKLY%20TRACKER%204%20Ma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Query"/>
      <sheetName val="1 2020 Pivot"/>
      <sheetName val="1 2019 Pivot"/>
      <sheetName val="1 Airline Exclusions"/>
      <sheetName val="2 2020 Data"/>
      <sheetName val="2 2019 Data"/>
      <sheetName val="3 Results"/>
      <sheetName val="% Change week"/>
      <sheetName val="% Change month"/>
      <sheetName val="4 Summary Table"/>
      <sheetName val="4 Summary Table Top 10 ASPAC"/>
      <sheetName val="4 Summary Table Top 10 NAM EU"/>
      <sheetName val="5 Charts"/>
      <sheetName val="Charts for Website"/>
      <sheetName val="Country Lookup"/>
      <sheetName val="Date Lookup"/>
      <sheetName val="Region Summary"/>
      <sheetName val="Region Summary auto"/>
      <sheetName val="Queries"/>
    </sheetNames>
    <sheetDataSet>
      <sheetData sheetId="0"/>
      <sheetData sheetId="1"/>
      <sheetData sheetId="2"/>
      <sheetData sheetId="3"/>
      <sheetData sheetId="4"/>
      <sheetData sheetId="5">
        <row r="6">
          <cell r="L6">
            <v>9</v>
          </cell>
          <cell r="M6">
            <v>10</v>
          </cell>
          <cell r="N6">
            <v>11</v>
          </cell>
          <cell r="O6">
            <v>12</v>
          </cell>
          <cell r="P6">
            <v>13</v>
          </cell>
          <cell r="Q6">
            <v>14</v>
          </cell>
          <cell r="R6">
            <v>15</v>
          </cell>
          <cell r="S6">
            <v>16</v>
          </cell>
          <cell r="T6">
            <v>17</v>
          </cell>
          <cell r="U6">
            <v>18</v>
          </cell>
        </row>
        <row r="7">
          <cell r="C7" t="str">
            <v>Afghanistan</v>
          </cell>
          <cell r="D7">
            <v>251</v>
          </cell>
          <cell r="E7">
            <v>254</v>
          </cell>
          <cell r="F7">
            <v>253</v>
          </cell>
          <cell r="G7">
            <v>252</v>
          </cell>
          <cell r="H7">
            <v>273</v>
          </cell>
          <cell r="I7">
            <v>274</v>
          </cell>
          <cell r="J7">
            <v>274</v>
          </cell>
          <cell r="K7">
            <v>270</v>
          </cell>
          <cell r="L7">
            <v>273</v>
          </cell>
          <cell r="M7">
            <v>286</v>
          </cell>
          <cell r="N7">
            <v>264</v>
          </cell>
          <cell r="O7">
            <v>239</v>
          </cell>
          <cell r="P7">
            <v>214</v>
          </cell>
          <cell r="Q7">
            <v>160</v>
          </cell>
          <cell r="R7">
            <v>139</v>
          </cell>
          <cell r="S7">
            <v>137</v>
          </cell>
          <cell r="T7">
            <v>148</v>
          </cell>
          <cell r="U7">
            <v>104</v>
          </cell>
          <cell r="V7">
            <v>131</v>
          </cell>
          <cell r="W7">
            <v>172</v>
          </cell>
          <cell r="X7">
            <v>203</v>
          </cell>
          <cell r="Y7">
            <v>299</v>
          </cell>
          <cell r="Z7">
            <v>299</v>
          </cell>
          <cell r="AA7">
            <v>299</v>
          </cell>
          <cell r="AB7">
            <v>252</v>
          </cell>
        </row>
        <row r="8">
          <cell r="C8" t="str">
            <v>Albania</v>
          </cell>
          <cell r="D8">
            <v>247</v>
          </cell>
          <cell r="E8">
            <v>218</v>
          </cell>
          <cell r="F8">
            <v>171</v>
          </cell>
          <cell r="G8">
            <v>172</v>
          </cell>
          <cell r="H8">
            <v>172</v>
          </cell>
          <cell r="I8">
            <v>180</v>
          </cell>
          <cell r="J8">
            <v>180</v>
          </cell>
          <cell r="K8">
            <v>179</v>
          </cell>
          <cell r="L8">
            <v>178</v>
          </cell>
          <cell r="M8">
            <v>174</v>
          </cell>
          <cell r="N8">
            <v>124</v>
          </cell>
          <cell r="O8">
            <v>70</v>
          </cell>
          <cell r="P8">
            <v>80</v>
          </cell>
          <cell r="Q8">
            <v>77</v>
          </cell>
          <cell r="R8">
            <v>92</v>
          </cell>
          <cell r="S8">
            <v>59</v>
          </cell>
          <cell r="T8">
            <v>74</v>
          </cell>
          <cell r="U8">
            <v>76</v>
          </cell>
          <cell r="V8">
            <v>84</v>
          </cell>
          <cell r="W8">
            <v>101</v>
          </cell>
          <cell r="X8">
            <v>104</v>
          </cell>
          <cell r="Y8">
            <v>231</v>
          </cell>
          <cell r="Z8">
            <v>248</v>
          </cell>
          <cell r="AA8">
            <v>263</v>
          </cell>
          <cell r="AB8">
            <v>234</v>
          </cell>
        </row>
        <row r="9">
          <cell r="C9" t="str">
            <v>Algeria</v>
          </cell>
          <cell r="D9">
            <v>1344</v>
          </cell>
          <cell r="E9">
            <v>1330</v>
          </cell>
          <cell r="F9">
            <v>1334</v>
          </cell>
          <cell r="G9">
            <v>1336</v>
          </cell>
          <cell r="H9">
            <v>1333</v>
          </cell>
          <cell r="I9">
            <v>1341</v>
          </cell>
          <cell r="J9">
            <v>1330</v>
          </cell>
          <cell r="K9">
            <v>1337</v>
          </cell>
          <cell r="L9">
            <v>1362</v>
          </cell>
          <cell r="M9">
            <v>1349</v>
          </cell>
          <cell r="N9">
            <v>1197</v>
          </cell>
          <cell r="O9">
            <v>378</v>
          </cell>
          <cell r="P9">
            <v>300</v>
          </cell>
          <cell r="Q9">
            <v>118</v>
          </cell>
          <cell r="R9">
            <v>98</v>
          </cell>
          <cell r="S9">
            <v>104</v>
          </cell>
          <cell r="T9">
            <v>543</v>
          </cell>
          <cell r="U9">
            <v>165</v>
          </cell>
          <cell r="V9">
            <v>321</v>
          </cell>
          <cell r="W9">
            <v>778</v>
          </cell>
          <cell r="X9">
            <v>815</v>
          </cell>
          <cell r="Y9">
            <v>1342</v>
          </cell>
          <cell r="Z9">
            <v>1376</v>
          </cell>
          <cell r="AA9">
            <v>1476</v>
          </cell>
          <cell r="AB9">
            <v>1303</v>
          </cell>
        </row>
        <row r="10">
          <cell r="C10" t="str">
            <v>American Samoa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2</v>
          </cell>
          <cell r="N10">
            <v>2</v>
          </cell>
          <cell r="O10">
            <v>2</v>
          </cell>
          <cell r="P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Y10">
            <v>3</v>
          </cell>
          <cell r="Z10">
            <v>3</v>
          </cell>
          <cell r="AA10">
            <v>3</v>
          </cell>
          <cell r="AB10">
            <v>3</v>
          </cell>
        </row>
        <row r="11">
          <cell r="C11" t="str">
            <v>Angola</v>
          </cell>
          <cell r="D11">
            <v>264</v>
          </cell>
          <cell r="E11">
            <v>258</v>
          </cell>
          <cell r="F11">
            <v>257</v>
          </cell>
          <cell r="G11">
            <v>255</v>
          </cell>
          <cell r="H11">
            <v>255</v>
          </cell>
          <cell r="I11">
            <v>251</v>
          </cell>
          <cell r="J11">
            <v>251</v>
          </cell>
          <cell r="K11">
            <v>254</v>
          </cell>
          <cell r="L11">
            <v>252</v>
          </cell>
          <cell r="M11">
            <v>241</v>
          </cell>
          <cell r="N11">
            <v>242</v>
          </cell>
          <cell r="O11">
            <v>144</v>
          </cell>
          <cell r="P11">
            <v>28</v>
          </cell>
          <cell r="Q11">
            <v>6</v>
          </cell>
          <cell r="R11">
            <v>8</v>
          </cell>
          <cell r="S11">
            <v>29</v>
          </cell>
          <cell r="T11">
            <v>47</v>
          </cell>
          <cell r="U11">
            <v>11</v>
          </cell>
          <cell r="V11">
            <v>15</v>
          </cell>
          <cell r="W11">
            <v>32</v>
          </cell>
          <cell r="X11">
            <v>34</v>
          </cell>
          <cell r="Y11">
            <v>200</v>
          </cell>
          <cell r="Z11">
            <v>201</v>
          </cell>
          <cell r="AA11">
            <v>203</v>
          </cell>
          <cell r="AB11">
            <v>166</v>
          </cell>
        </row>
        <row r="12">
          <cell r="C12" t="str">
            <v>Anguilla, Leeward Islands</v>
          </cell>
          <cell r="D12">
            <v>95</v>
          </cell>
          <cell r="E12">
            <v>95</v>
          </cell>
          <cell r="F12">
            <v>95</v>
          </cell>
          <cell r="G12">
            <v>90</v>
          </cell>
          <cell r="H12">
            <v>89</v>
          </cell>
          <cell r="I12">
            <v>89</v>
          </cell>
          <cell r="J12">
            <v>89</v>
          </cell>
          <cell r="K12">
            <v>89</v>
          </cell>
          <cell r="L12">
            <v>90</v>
          </cell>
          <cell r="M12">
            <v>84</v>
          </cell>
          <cell r="N12">
            <v>84</v>
          </cell>
          <cell r="O12">
            <v>84</v>
          </cell>
          <cell r="P12">
            <v>84</v>
          </cell>
          <cell r="Q12">
            <v>91</v>
          </cell>
          <cell r="R12">
            <v>92</v>
          </cell>
          <cell r="S12">
            <v>88</v>
          </cell>
          <cell r="T12">
            <v>86</v>
          </cell>
          <cell r="U12">
            <v>79</v>
          </cell>
          <cell r="V12">
            <v>80</v>
          </cell>
          <cell r="W12">
            <v>81</v>
          </cell>
          <cell r="X12">
            <v>81</v>
          </cell>
          <cell r="Y12">
            <v>84</v>
          </cell>
          <cell r="Z12">
            <v>86</v>
          </cell>
          <cell r="AA12">
            <v>86</v>
          </cell>
          <cell r="AB12">
            <v>73</v>
          </cell>
        </row>
        <row r="13">
          <cell r="C13" t="str">
            <v>Antigua and Barbuda, Leeward Islands</v>
          </cell>
          <cell r="D13">
            <v>260</v>
          </cell>
          <cell r="E13">
            <v>259</v>
          </cell>
          <cell r="F13">
            <v>256</v>
          </cell>
          <cell r="G13">
            <v>257</v>
          </cell>
          <cell r="H13">
            <v>260</v>
          </cell>
          <cell r="I13">
            <v>262</v>
          </cell>
          <cell r="J13">
            <v>262</v>
          </cell>
          <cell r="K13">
            <v>260</v>
          </cell>
          <cell r="L13">
            <v>259</v>
          </cell>
          <cell r="M13">
            <v>263</v>
          </cell>
          <cell r="N13">
            <v>267</v>
          </cell>
          <cell r="O13">
            <v>199</v>
          </cell>
          <cell r="P13">
            <v>178</v>
          </cell>
          <cell r="Q13">
            <v>157</v>
          </cell>
          <cell r="R13">
            <v>64</v>
          </cell>
          <cell r="S13">
            <v>130</v>
          </cell>
          <cell r="T13">
            <v>49</v>
          </cell>
          <cell r="U13">
            <v>50</v>
          </cell>
          <cell r="V13">
            <v>111</v>
          </cell>
          <cell r="W13">
            <v>181</v>
          </cell>
          <cell r="X13">
            <v>185</v>
          </cell>
          <cell r="Y13">
            <v>207</v>
          </cell>
          <cell r="Z13">
            <v>223</v>
          </cell>
          <cell r="AA13">
            <v>224</v>
          </cell>
          <cell r="AB13">
            <v>190</v>
          </cell>
        </row>
        <row r="14">
          <cell r="C14" t="str">
            <v>Argentina</v>
          </cell>
          <cell r="D14">
            <v>3728</v>
          </cell>
          <cell r="E14">
            <v>3727</v>
          </cell>
          <cell r="F14">
            <v>3714</v>
          </cell>
          <cell r="G14">
            <v>3698</v>
          </cell>
          <cell r="H14">
            <v>3641</v>
          </cell>
          <cell r="I14">
            <v>3634</v>
          </cell>
          <cell r="J14">
            <v>3646</v>
          </cell>
          <cell r="K14">
            <v>3642</v>
          </cell>
          <cell r="L14">
            <v>3483</v>
          </cell>
          <cell r="M14">
            <v>3495</v>
          </cell>
          <cell r="N14">
            <v>3493</v>
          </cell>
          <cell r="O14">
            <v>1549</v>
          </cell>
          <cell r="P14">
            <v>562</v>
          </cell>
          <cell r="Q14">
            <v>270</v>
          </cell>
          <cell r="R14">
            <v>321</v>
          </cell>
          <cell r="S14">
            <v>191</v>
          </cell>
          <cell r="T14">
            <v>578</v>
          </cell>
          <cell r="U14">
            <v>321</v>
          </cell>
          <cell r="V14">
            <v>1074</v>
          </cell>
          <cell r="W14">
            <v>1122</v>
          </cell>
          <cell r="X14">
            <v>1147</v>
          </cell>
          <cell r="Y14">
            <v>1769</v>
          </cell>
          <cell r="Z14">
            <v>1794</v>
          </cell>
          <cell r="AA14">
            <v>1824</v>
          </cell>
          <cell r="AB14">
            <v>1617</v>
          </cell>
        </row>
        <row r="15">
          <cell r="C15" t="str">
            <v>Armenia</v>
          </cell>
          <cell r="D15">
            <v>262</v>
          </cell>
          <cell r="E15">
            <v>249</v>
          </cell>
          <cell r="F15">
            <v>246</v>
          </cell>
          <cell r="G15">
            <v>239</v>
          </cell>
          <cell r="H15">
            <v>234</v>
          </cell>
          <cell r="I15">
            <v>234</v>
          </cell>
          <cell r="J15">
            <v>241</v>
          </cell>
          <cell r="K15">
            <v>237</v>
          </cell>
          <cell r="L15">
            <v>243</v>
          </cell>
          <cell r="M15">
            <v>242</v>
          </cell>
          <cell r="N15">
            <v>227</v>
          </cell>
          <cell r="O15">
            <v>151</v>
          </cell>
          <cell r="P15">
            <v>121</v>
          </cell>
          <cell r="Q15">
            <v>65</v>
          </cell>
          <cell r="R15">
            <v>70</v>
          </cell>
          <cell r="S15">
            <v>74</v>
          </cell>
          <cell r="T15">
            <v>84</v>
          </cell>
          <cell r="U15">
            <v>75</v>
          </cell>
          <cell r="V15">
            <v>93</v>
          </cell>
          <cell r="W15">
            <v>104</v>
          </cell>
          <cell r="X15">
            <v>109</v>
          </cell>
          <cell r="Y15">
            <v>272</v>
          </cell>
          <cell r="Z15">
            <v>287</v>
          </cell>
          <cell r="AA15">
            <v>291</v>
          </cell>
          <cell r="AB15">
            <v>259</v>
          </cell>
        </row>
        <row r="16">
          <cell r="C16" t="str">
            <v>Aruba</v>
          </cell>
          <cell r="D16">
            <v>277</v>
          </cell>
          <cell r="E16">
            <v>267</v>
          </cell>
          <cell r="F16">
            <v>268</v>
          </cell>
          <cell r="G16">
            <v>265</v>
          </cell>
          <cell r="H16">
            <v>264</v>
          </cell>
          <cell r="I16">
            <v>271</v>
          </cell>
          <cell r="J16">
            <v>283</v>
          </cell>
          <cell r="K16">
            <v>280</v>
          </cell>
          <cell r="L16">
            <v>283</v>
          </cell>
          <cell r="M16">
            <v>281</v>
          </cell>
          <cell r="N16">
            <v>283</v>
          </cell>
          <cell r="O16">
            <v>133</v>
          </cell>
          <cell r="P16">
            <v>81</v>
          </cell>
          <cell r="Q16">
            <v>78</v>
          </cell>
          <cell r="R16">
            <v>65</v>
          </cell>
          <cell r="S16">
            <v>64</v>
          </cell>
          <cell r="T16">
            <v>57</v>
          </cell>
          <cell r="U16">
            <v>43</v>
          </cell>
          <cell r="V16">
            <v>47</v>
          </cell>
          <cell r="W16">
            <v>48</v>
          </cell>
          <cell r="X16">
            <v>50</v>
          </cell>
          <cell r="Y16">
            <v>123</v>
          </cell>
          <cell r="Z16">
            <v>132</v>
          </cell>
          <cell r="AA16">
            <v>135</v>
          </cell>
          <cell r="AB16">
            <v>125</v>
          </cell>
        </row>
        <row r="17">
          <cell r="C17" t="str">
            <v>Australia</v>
          </cell>
          <cell r="D17">
            <v>13903</v>
          </cell>
          <cell r="E17">
            <v>14116</v>
          </cell>
          <cell r="F17">
            <v>14104</v>
          </cell>
          <cell r="G17">
            <v>14209</v>
          </cell>
          <cell r="H17">
            <v>14407</v>
          </cell>
          <cell r="I17">
            <v>14252</v>
          </cell>
          <cell r="J17">
            <v>14763</v>
          </cell>
          <cell r="K17">
            <v>14713</v>
          </cell>
          <cell r="L17">
            <v>14678</v>
          </cell>
          <cell r="M17">
            <v>14710</v>
          </cell>
          <cell r="N17">
            <v>14607</v>
          </cell>
          <cell r="O17">
            <v>12401</v>
          </cell>
          <cell r="P17">
            <v>5567</v>
          </cell>
          <cell r="Q17">
            <v>3409</v>
          </cell>
          <cell r="R17">
            <v>2268</v>
          </cell>
          <cell r="S17">
            <v>2314</v>
          </cell>
          <cell r="T17">
            <v>2364</v>
          </cell>
          <cell r="U17">
            <v>2529</v>
          </cell>
          <cell r="V17">
            <v>2679</v>
          </cell>
          <cell r="W17">
            <v>2672</v>
          </cell>
          <cell r="X17">
            <v>2773</v>
          </cell>
          <cell r="Y17">
            <v>4708</v>
          </cell>
          <cell r="Z17">
            <v>6451</v>
          </cell>
          <cell r="AA17">
            <v>11804</v>
          </cell>
          <cell r="AB17">
            <v>10729</v>
          </cell>
        </row>
        <row r="18">
          <cell r="C18" t="str">
            <v>Austria</v>
          </cell>
          <cell r="D18">
            <v>2720</v>
          </cell>
          <cell r="E18">
            <v>2655</v>
          </cell>
          <cell r="F18">
            <v>2666</v>
          </cell>
          <cell r="G18">
            <v>2674</v>
          </cell>
          <cell r="H18">
            <v>2704</v>
          </cell>
          <cell r="I18">
            <v>2780</v>
          </cell>
          <cell r="J18">
            <v>2824</v>
          </cell>
          <cell r="K18">
            <v>2846</v>
          </cell>
          <cell r="L18">
            <v>2914</v>
          </cell>
          <cell r="M18">
            <v>2708</v>
          </cell>
          <cell r="N18">
            <v>2316</v>
          </cell>
          <cell r="O18">
            <v>737</v>
          </cell>
          <cell r="P18">
            <v>291</v>
          </cell>
          <cell r="Q18">
            <v>263</v>
          </cell>
          <cell r="R18">
            <v>234</v>
          </cell>
          <cell r="S18">
            <v>147</v>
          </cell>
          <cell r="T18">
            <v>236</v>
          </cell>
          <cell r="U18">
            <v>315</v>
          </cell>
          <cell r="V18">
            <v>357</v>
          </cell>
          <cell r="W18">
            <v>527</v>
          </cell>
          <cell r="X18">
            <v>582</v>
          </cell>
          <cell r="Y18">
            <v>3046</v>
          </cell>
          <cell r="Z18">
            <v>3052</v>
          </cell>
          <cell r="AA18">
            <v>3128</v>
          </cell>
          <cell r="AB18">
            <v>2706</v>
          </cell>
        </row>
        <row r="19">
          <cell r="C19" t="str">
            <v>Azerbaijan</v>
          </cell>
          <cell r="D19">
            <v>372</v>
          </cell>
          <cell r="E19">
            <v>365</v>
          </cell>
          <cell r="F19">
            <v>352</v>
          </cell>
          <cell r="G19">
            <v>337</v>
          </cell>
          <cell r="H19">
            <v>322</v>
          </cell>
          <cell r="I19">
            <v>319</v>
          </cell>
          <cell r="J19">
            <v>318</v>
          </cell>
          <cell r="K19">
            <v>327</v>
          </cell>
          <cell r="L19">
            <v>335</v>
          </cell>
          <cell r="M19">
            <v>317</v>
          </cell>
          <cell r="N19">
            <v>309</v>
          </cell>
          <cell r="O19">
            <v>113</v>
          </cell>
          <cell r="P19">
            <v>75</v>
          </cell>
          <cell r="Q19">
            <v>84</v>
          </cell>
          <cell r="R19">
            <v>101</v>
          </cell>
          <cell r="S19">
            <v>123</v>
          </cell>
          <cell r="T19">
            <v>142</v>
          </cell>
          <cell r="U19">
            <v>194</v>
          </cell>
          <cell r="V19">
            <v>201</v>
          </cell>
          <cell r="W19">
            <v>235</v>
          </cell>
          <cell r="X19">
            <v>295</v>
          </cell>
          <cell r="Y19">
            <v>427</v>
          </cell>
          <cell r="Z19">
            <v>444</v>
          </cell>
          <cell r="AA19">
            <v>455</v>
          </cell>
          <cell r="AB19">
            <v>403</v>
          </cell>
        </row>
        <row r="20">
          <cell r="C20" t="str">
            <v>Bahamas</v>
          </cell>
          <cell r="D20">
            <v>1373</v>
          </cell>
          <cell r="E20">
            <v>1341</v>
          </cell>
          <cell r="F20">
            <v>1345</v>
          </cell>
          <cell r="G20">
            <v>1340</v>
          </cell>
          <cell r="H20">
            <v>1344</v>
          </cell>
          <cell r="I20">
            <v>1407</v>
          </cell>
          <cell r="J20">
            <v>1444</v>
          </cell>
          <cell r="K20">
            <v>1459</v>
          </cell>
          <cell r="L20">
            <v>1444</v>
          </cell>
          <cell r="M20">
            <v>1456</v>
          </cell>
          <cell r="N20">
            <v>1456</v>
          </cell>
          <cell r="O20">
            <v>1432</v>
          </cell>
          <cell r="P20">
            <v>1285</v>
          </cell>
          <cell r="Q20">
            <v>1171</v>
          </cell>
          <cell r="R20">
            <v>637</v>
          </cell>
          <cell r="S20">
            <v>596</v>
          </cell>
          <cell r="T20">
            <v>597</v>
          </cell>
          <cell r="U20">
            <v>597</v>
          </cell>
          <cell r="V20">
            <v>600</v>
          </cell>
          <cell r="W20">
            <v>600</v>
          </cell>
          <cell r="X20">
            <v>600</v>
          </cell>
          <cell r="Y20">
            <v>729</v>
          </cell>
          <cell r="Z20">
            <v>813</v>
          </cell>
          <cell r="AA20">
            <v>827</v>
          </cell>
          <cell r="AB20">
            <v>706</v>
          </cell>
        </row>
        <row r="21">
          <cell r="C21" t="str">
            <v>Bahrain</v>
          </cell>
          <cell r="D21">
            <v>827</v>
          </cell>
          <cell r="E21">
            <v>827</v>
          </cell>
          <cell r="F21">
            <v>805</v>
          </cell>
          <cell r="G21">
            <v>801</v>
          </cell>
          <cell r="H21">
            <v>802</v>
          </cell>
          <cell r="I21">
            <v>806</v>
          </cell>
          <cell r="J21">
            <v>816</v>
          </cell>
          <cell r="K21">
            <v>799</v>
          </cell>
          <cell r="L21">
            <v>810</v>
          </cell>
          <cell r="M21">
            <v>665</v>
          </cell>
          <cell r="N21">
            <v>463</v>
          </cell>
          <cell r="O21">
            <v>173</v>
          </cell>
          <cell r="P21">
            <v>96</v>
          </cell>
          <cell r="Q21">
            <v>65</v>
          </cell>
          <cell r="R21">
            <v>361</v>
          </cell>
          <cell r="S21">
            <v>556</v>
          </cell>
          <cell r="T21">
            <v>199</v>
          </cell>
          <cell r="U21">
            <v>513</v>
          </cell>
          <cell r="V21">
            <v>612</v>
          </cell>
          <cell r="W21">
            <v>664</v>
          </cell>
          <cell r="X21">
            <v>686</v>
          </cell>
          <cell r="Y21">
            <v>739</v>
          </cell>
          <cell r="Z21">
            <v>747</v>
          </cell>
          <cell r="AA21">
            <v>749</v>
          </cell>
          <cell r="AB21">
            <v>652</v>
          </cell>
        </row>
        <row r="22">
          <cell r="C22" t="str">
            <v>Bangladesh</v>
          </cell>
          <cell r="D22">
            <v>1485</v>
          </cell>
          <cell r="E22">
            <v>1484</v>
          </cell>
          <cell r="F22">
            <v>1484</v>
          </cell>
          <cell r="G22">
            <v>1481</v>
          </cell>
          <cell r="H22">
            <v>1482</v>
          </cell>
          <cell r="I22">
            <v>1479</v>
          </cell>
          <cell r="J22">
            <v>1560</v>
          </cell>
          <cell r="K22">
            <v>1558</v>
          </cell>
          <cell r="L22">
            <v>1553</v>
          </cell>
          <cell r="M22">
            <v>1548</v>
          </cell>
          <cell r="N22">
            <v>1522</v>
          </cell>
          <cell r="O22">
            <v>1263</v>
          </cell>
          <cell r="P22">
            <v>1221</v>
          </cell>
          <cell r="Q22">
            <v>975</v>
          </cell>
          <cell r="R22">
            <v>1122</v>
          </cell>
          <cell r="S22">
            <v>962</v>
          </cell>
          <cell r="T22">
            <v>837</v>
          </cell>
          <cell r="U22">
            <v>853</v>
          </cell>
          <cell r="V22">
            <v>1298</v>
          </cell>
          <cell r="W22">
            <v>1549</v>
          </cell>
          <cell r="X22">
            <v>1554</v>
          </cell>
          <cell r="Y22">
            <v>1641</v>
          </cell>
          <cell r="Z22">
            <v>1644</v>
          </cell>
          <cell r="AA22">
            <v>1644</v>
          </cell>
          <cell r="AB22">
            <v>1419</v>
          </cell>
        </row>
        <row r="23">
          <cell r="C23" t="str">
            <v>Barbados</v>
          </cell>
          <cell r="D23">
            <v>319</v>
          </cell>
          <cell r="E23">
            <v>320</v>
          </cell>
          <cell r="F23">
            <v>313</v>
          </cell>
          <cell r="G23">
            <v>311</v>
          </cell>
          <cell r="H23">
            <v>311</v>
          </cell>
          <cell r="I23">
            <v>318</v>
          </cell>
          <cell r="J23">
            <v>326</v>
          </cell>
          <cell r="K23">
            <v>332</v>
          </cell>
          <cell r="L23">
            <v>322</v>
          </cell>
          <cell r="M23">
            <v>322</v>
          </cell>
          <cell r="N23">
            <v>316</v>
          </cell>
          <cell r="O23">
            <v>269</v>
          </cell>
          <cell r="P23">
            <v>208</v>
          </cell>
          <cell r="Q23">
            <v>147</v>
          </cell>
          <cell r="R23">
            <v>29</v>
          </cell>
          <cell r="S23">
            <v>103</v>
          </cell>
          <cell r="T23">
            <v>14</v>
          </cell>
          <cell r="U23">
            <v>29</v>
          </cell>
          <cell r="V23">
            <v>117</v>
          </cell>
          <cell r="W23">
            <v>208</v>
          </cell>
          <cell r="X23">
            <v>218</v>
          </cell>
          <cell r="Y23">
            <v>229</v>
          </cell>
          <cell r="Z23">
            <v>250</v>
          </cell>
          <cell r="AA23">
            <v>259</v>
          </cell>
          <cell r="AB23">
            <v>226</v>
          </cell>
        </row>
        <row r="24">
          <cell r="C24" t="str">
            <v>Belarus</v>
          </cell>
          <cell r="D24">
            <v>471</v>
          </cell>
          <cell r="E24">
            <v>451</v>
          </cell>
          <cell r="F24">
            <v>447</v>
          </cell>
          <cell r="G24">
            <v>445</v>
          </cell>
          <cell r="H24">
            <v>446</v>
          </cell>
          <cell r="I24">
            <v>445</v>
          </cell>
          <cell r="J24">
            <v>439</v>
          </cell>
          <cell r="K24">
            <v>441</v>
          </cell>
          <cell r="L24">
            <v>433</v>
          </cell>
          <cell r="M24">
            <v>431</v>
          </cell>
          <cell r="N24">
            <v>402</v>
          </cell>
          <cell r="O24">
            <v>191</v>
          </cell>
          <cell r="P24">
            <v>142</v>
          </cell>
          <cell r="Q24">
            <v>63</v>
          </cell>
          <cell r="R24">
            <v>57</v>
          </cell>
          <cell r="S24">
            <v>72</v>
          </cell>
          <cell r="T24">
            <v>150</v>
          </cell>
          <cell r="U24">
            <v>64</v>
          </cell>
          <cell r="V24">
            <v>269</v>
          </cell>
          <cell r="W24">
            <v>328</v>
          </cell>
          <cell r="X24">
            <v>351</v>
          </cell>
          <cell r="Y24">
            <v>511</v>
          </cell>
          <cell r="Z24">
            <v>527</v>
          </cell>
          <cell r="AA24">
            <v>532</v>
          </cell>
          <cell r="AB24">
            <v>454</v>
          </cell>
        </row>
        <row r="25">
          <cell r="C25" t="str">
            <v>Belgium</v>
          </cell>
          <cell r="D25">
            <v>2182</v>
          </cell>
          <cell r="E25">
            <v>2134</v>
          </cell>
          <cell r="F25">
            <v>2182</v>
          </cell>
          <cell r="G25">
            <v>2185</v>
          </cell>
          <cell r="H25">
            <v>2268</v>
          </cell>
          <cell r="I25">
            <v>2284</v>
          </cell>
          <cell r="J25">
            <v>2316</v>
          </cell>
          <cell r="K25">
            <v>2334</v>
          </cell>
          <cell r="L25">
            <v>2324</v>
          </cell>
          <cell r="M25">
            <v>2170</v>
          </cell>
          <cell r="N25">
            <v>1806</v>
          </cell>
          <cell r="O25">
            <v>533</v>
          </cell>
          <cell r="P25">
            <v>424</v>
          </cell>
          <cell r="Q25">
            <v>426</v>
          </cell>
          <cell r="R25">
            <v>394</v>
          </cell>
          <cell r="S25">
            <v>211</v>
          </cell>
          <cell r="T25">
            <v>219</v>
          </cell>
          <cell r="U25">
            <v>279</v>
          </cell>
          <cell r="V25">
            <v>370</v>
          </cell>
          <cell r="W25">
            <v>517</v>
          </cell>
          <cell r="X25">
            <v>566</v>
          </cell>
          <cell r="Y25">
            <v>1921</v>
          </cell>
          <cell r="Z25">
            <v>2277</v>
          </cell>
          <cell r="AA25">
            <v>2292</v>
          </cell>
          <cell r="AB25">
            <v>2002</v>
          </cell>
        </row>
        <row r="26">
          <cell r="C26" t="str">
            <v>Belize</v>
          </cell>
          <cell r="D26">
            <v>4297</v>
          </cell>
          <cell r="E26">
            <v>4289</v>
          </cell>
          <cell r="F26">
            <v>4223</v>
          </cell>
          <cell r="G26">
            <v>4256</v>
          </cell>
          <cell r="H26">
            <v>4213</v>
          </cell>
          <cell r="I26">
            <v>4254</v>
          </cell>
          <cell r="J26">
            <v>4248</v>
          </cell>
          <cell r="K26">
            <v>4255</v>
          </cell>
          <cell r="L26">
            <v>4259</v>
          </cell>
          <cell r="M26">
            <v>4300</v>
          </cell>
          <cell r="N26">
            <v>4294</v>
          </cell>
          <cell r="O26">
            <v>4151</v>
          </cell>
          <cell r="P26">
            <v>3377</v>
          </cell>
          <cell r="Q26">
            <v>3091</v>
          </cell>
          <cell r="R26">
            <v>3065</v>
          </cell>
          <cell r="S26">
            <v>3060</v>
          </cell>
          <cell r="T26">
            <v>3310</v>
          </cell>
          <cell r="U26">
            <v>3978</v>
          </cell>
          <cell r="V26">
            <v>3969</v>
          </cell>
          <cell r="W26">
            <v>3969</v>
          </cell>
          <cell r="X26">
            <v>3941</v>
          </cell>
          <cell r="Y26">
            <v>3833</v>
          </cell>
          <cell r="Z26">
            <v>3837</v>
          </cell>
          <cell r="AA26">
            <v>3839</v>
          </cell>
          <cell r="AB26">
            <v>3290</v>
          </cell>
        </row>
        <row r="27">
          <cell r="C27" t="str">
            <v>Benin</v>
          </cell>
          <cell r="D27">
            <v>115</v>
          </cell>
          <cell r="E27">
            <v>117</v>
          </cell>
          <cell r="F27">
            <v>117</v>
          </cell>
          <cell r="G27">
            <v>113</v>
          </cell>
          <cell r="H27">
            <v>117</v>
          </cell>
          <cell r="I27">
            <v>118</v>
          </cell>
          <cell r="J27">
            <v>116</v>
          </cell>
          <cell r="K27">
            <v>117</v>
          </cell>
          <cell r="L27">
            <v>116</v>
          </cell>
          <cell r="M27">
            <v>111</v>
          </cell>
          <cell r="N27">
            <v>108</v>
          </cell>
          <cell r="O27">
            <v>53</v>
          </cell>
          <cell r="P27">
            <v>54</v>
          </cell>
          <cell r="Q27">
            <v>55</v>
          </cell>
          <cell r="R27">
            <v>44</v>
          </cell>
          <cell r="S27">
            <v>51</v>
          </cell>
          <cell r="T27">
            <v>36</v>
          </cell>
          <cell r="U27">
            <v>30</v>
          </cell>
          <cell r="V27">
            <v>54</v>
          </cell>
          <cell r="W27">
            <v>67</v>
          </cell>
          <cell r="X27">
            <v>75</v>
          </cell>
          <cell r="Y27">
            <v>107</v>
          </cell>
          <cell r="Z27">
            <v>108</v>
          </cell>
          <cell r="AA27">
            <v>113</v>
          </cell>
          <cell r="AB27">
            <v>97</v>
          </cell>
        </row>
        <row r="28">
          <cell r="C28" t="str">
            <v>Bermuda</v>
          </cell>
          <cell r="D28">
            <v>52</v>
          </cell>
          <cell r="E28">
            <v>50</v>
          </cell>
          <cell r="F28">
            <v>50</v>
          </cell>
          <cell r="G28">
            <v>50</v>
          </cell>
          <cell r="H28">
            <v>51</v>
          </cell>
          <cell r="I28">
            <v>52</v>
          </cell>
          <cell r="J28">
            <v>54</v>
          </cell>
          <cell r="K28">
            <v>54</v>
          </cell>
          <cell r="L28">
            <v>53</v>
          </cell>
          <cell r="M28">
            <v>54</v>
          </cell>
          <cell r="N28">
            <v>56</v>
          </cell>
          <cell r="O28">
            <v>23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W28">
            <v>1</v>
          </cell>
          <cell r="X28">
            <v>2</v>
          </cell>
          <cell r="Y28">
            <v>36</v>
          </cell>
          <cell r="Z28">
            <v>55</v>
          </cell>
          <cell r="AA28">
            <v>63</v>
          </cell>
          <cell r="AB28">
            <v>55</v>
          </cell>
        </row>
        <row r="29">
          <cell r="C29" t="str">
            <v>Bhutan</v>
          </cell>
          <cell r="D29">
            <v>78</v>
          </cell>
          <cell r="E29">
            <v>84</v>
          </cell>
          <cell r="F29">
            <v>84</v>
          </cell>
          <cell r="G29">
            <v>82</v>
          </cell>
          <cell r="H29">
            <v>77</v>
          </cell>
          <cell r="I29">
            <v>73</v>
          </cell>
          <cell r="J29">
            <v>77</v>
          </cell>
          <cell r="K29">
            <v>69</v>
          </cell>
          <cell r="L29">
            <v>75</v>
          </cell>
          <cell r="M29">
            <v>75</v>
          </cell>
          <cell r="N29">
            <v>47</v>
          </cell>
          <cell r="O29">
            <v>27</v>
          </cell>
          <cell r="P29">
            <v>34</v>
          </cell>
          <cell r="Q29">
            <v>9</v>
          </cell>
          <cell r="R29">
            <v>12</v>
          </cell>
          <cell r="S29">
            <v>11</v>
          </cell>
          <cell r="T29">
            <v>29</v>
          </cell>
          <cell r="U29">
            <v>25</v>
          </cell>
          <cell r="V29">
            <v>27</v>
          </cell>
          <cell r="W29">
            <v>28</v>
          </cell>
          <cell r="X29">
            <v>27</v>
          </cell>
          <cell r="Y29">
            <v>66</v>
          </cell>
          <cell r="Z29">
            <v>68</v>
          </cell>
          <cell r="AA29">
            <v>68</v>
          </cell>
          <cell r="AB29">
            <v>59</v>
          </cell>
        </row>
        <row r="30">
          <cell r="C30" t="str">
            <v>Bolivia</v>
          </cell>
          <cell r="D30">
            <v>1329</v>
          </cell>
          <cell r="E30">
            <v>1323</v>
          </cell>
          <cell r="F30">
            <v>1329</v>
          </cell>
          <cell r="G30">
            <v>1330</v>
          </cell>
          <cell r="H30">
            <v>1326</v>
          </cell>
          <cell r="I30">
            <v>1325</v>
          </cell>
          <cell r="J30">
            <v>1331</v>
          </cell>
          <cell r="K30">
            <v>1325</v>
          </cell>
          <cell r="L30">
            <v>1331</v>
          </cell>
          <cell r="M30">
            <v>1330</v>
          </cell>
          <cell r="N30">
            <v>1317</v>
          </cell>
          <cell r="O30">
            <v>972</v>
          </cell>
          <cell r="P30">
            <v>1175</v>
          </cell>
          <cell r="Q30">
            <v>1248</v>
          </cell>
          <cell r="R30">
            <v>1250</v>
          </cell>
          <cell r="S30">
            <v>1252</v>
          </cell>
          <cell r="T30">
            <v>1159</v>
          </cell>
          <cell r="U30">
            <v>1028</v>
          </cell>
          <cell r="V30">
            <v>1035</v>
          </cell>
          <cell r="W30">
            <v>1034</v>
          </cell>
          <cell r="X30">
            <v>1139</v>
          </cell>
          <cell r="Y30">
            <v>1180</v>
          </cell>
          <cell r="Z30">
            <v>1183</v>
          </cell>
          <cell r="AA30">
            <v>1185</v>
          </cell>
          <cell r="AB30">
            <v>1118</v>
          </cell>
        </row>
        <row r="31">
          <cell r="C31" t="str">
            <v>Bonaire, Saint Eustatius and Saba</v>
          </cell>
          <cell r="D31">
            <v>220</v>
          </cell>
          <cell r="E31">
            <v>220</v>
          </cell>
          <cell r="F31">
            <v>219</v>
          </cell>
          <cell r="G31">
            <v>218</v>
          </cell>
          <cell r="H31">
            <v>225</v>
          </cell>
          <cell r="I31">
            <v>232</v>
          </cell>
          <cell r="J31">
            <v>233</v>
          </cell>
          <cell r="K31">
            <v>234</v>
          </cell>
          <cell r="L31">
            <v>234</v>
          </cell>
          <cell r="M31">
            <v>232</v>
          </cell>
          <cell r="N31">
            <v>236</v>
          </cell>
          <cell r="O31">
            <v>150</v>
          </cell>
          <cell r="P31">
            <v>103</v>
          </cell>
          <cell r="Q31">
            <v>101</v>
          </cell>
          <cell r="R31">
            <v>100</v>
          </cell>
          <cell r="S31">
            <v>100</v>
          </cell>
          <cell r="T31">
            <v>97</v>
          </cell>
          <cell r="U31">
            <v>99</v>
          </cell>
          <cell r="V31">
            <v>122</v>
          </cell>
          <cell r="W31">
            <v>122</v>
          </cell>
          <cell r="X31">
            <v>125</v>
          </cell>
          <cell r="Y31">
            <v>133</v>
          </cell>
          <cell r="Z31">
            <v>133</v>
          </cell>
          <cell r="AA31">
            <v>133</v>
          </cell>
          <cell r="AB31">
            <v>121</v>
          </cell>
        </row>
        <row r="32">
          <cell r="C32" t="str">
            <v>Bosnia and Herzegovina</v>
          </cell>
          <cell r="D32">
            <v>119</v>
          </cell>
          <cell r="E32">
            <v>117</v>
          </cell>
          <cell r="F32">
            <v>115</v>
          </cell>
          <cell r="G32">
            <v>115</v>
          </cell>
          <cell r="H32">
            <v>126</v>
          </cell>
          <cell r="I32">
            <v>124</v>
          </cell>
          <cell r="J32">
            <v>121</v>
          </cell>
          <cell r="K32">
            <v>122</v>
          </cell>
          <cell r="L32">
            <v>121</v>
          </cell>
          <cell r="M32">
            <v>122</v>
          </cell>
          <cell r="N32">
            <v>114</v>
          </cell>
          <cell r="O32">
            <v>58</v>
          </cell>
          <cell r="P32">
            <v>53</v>
          </cell>
          <cell r="Q32">
            <v>47</v>
          </cell>
          <cell r="R32">
            <v>54</v>
          </cell>
          <cell r="S32">
            <v>12</v>
          </cell>
          <cell r="T32">
            <v>34</v>
          </cell>
          <cell r="U32">
            <v>63</v>
          </cell>
          <cell r="V32">
            <v>73</v>
          </cell>
          <cell r="W32">
            <v>80</v>
          </cell>
          <cell r="X32">
            <v>111</v>
          </cell>
          <cell r="Y32">
            <v>179</v>
          </cell>
          <cell r="Z32">
            <v>189</v>
          </cell>
          <cell r="AA32">
            <v>191</v>
          </cell>
          <cell r="AB32">
            <v>169</v>
          </cell>
        </row>
        <row r="33">
          <cell r="C33" t="str">
            <v>Botswana</v>
          </cell>
          <cell r="D33">
            <v>178</v>
          </cell>
          <cell r="E33">
            <v>176</v>
          </cell>
          <cell r="F33">
            <v>160</v>
          </cell>
          <cell r="G33">
            <v>167</v>
          </cell>
          <cell r="H33">
            <v>164</v>
          </cell>
          <cell r="I33">
            <v>163</v>
          </cell>
          <cell r="J33">
            <v>164</v>
          </cell>
          <cell r="K33">
            <v>181</v>
          </cell>
          <cell r="L33">
            <v>188</v>
          </cell>
          <cell r="M33">
            <v>186</v>
          </cell>
          <cell r="N33">
            <v>175</v>
          </cell>
          <cell r="O33">
            <v>164</v>
          </cell>
          <cell r="P33">
            <v>103</v>
          </cell>
          <cell r="Q33">
            <v>100</v>
          </cell>
          <cell r="R33">
            <v>117</v>
          </cell>
          <cell r="S33">
            <v>144</v>
          </cell>
          <cell r="T33">
            <v>143</v>
          </cell>
          <cell r="U33">
            <v>148</v>
          </cell>
          <cell r="V33">
            <v>169</v>
          </cell>
          <cell r="W33">
            <v>172</v>
          </cell>
          <cell r="X33">
            <v>172</v>
          </cell>
          <cell r="Y33">
            <v>178</v>
          </cell>
          <cell r="Z33">
            <v>183</v>
          </cell>
          <cell r="AA33">
            <v>196</v>
          </cell>
          <cell r="AB33">
            <v>171</v>
          </cell>
        </row>
        <row r="34">
          <cell r="C34" t="str">
            <v>Brazil</v>
          </cell>
          <cell r="D34">
            <v>19309</v>
          </cell>
          <cell r="E34">
            <v>19253</v>
          </cell>
          <cell r="F34">
            <v>19173</v>
          </cell>
          <cell r="G34">
            <v>19080</v>
          </cell>
          <cell r="H34">
            <v>18431</v>
          </cell>
          <cell r="I34">
            <v>18330</v>
          </cell>
          <cell r="J34">
            <v>17563</v>
          </cell>
          <cell r="K34">
            <v>16469</v>
          </cell>
          <cell r="L34">
            <v>18113</v>
          </cell>
          <cell r="M34">
            <v>17949</v>
          </cell>
          <cell r="N34">
            <v>17937</v>
          </cell>
          <cell r="O34">
            <v>13550</v>
          </cell>
          <cell r="P34">
            <v>2722</v>
          </cell>
          <cell r="Q34">
            <v>1558</v>
          </cell>
          <cell r="R34">
            <v>1265</v>
          </cell>
          <cell r="S34">
            <v>1077</v>
          </cell>
          <cell r="T34">
            <v>1127</v>
          </cell>
          <cell r="U34">
            <v>1369</v>
          </cell>
          <cell r="V34">
            <v>1614</v>
          </cell>
          <cell r="W34">
            <v>1741</v>
          </cell>
          <cell r="X34">
            <v>1981</v>
          </cell>
          <cell r="Y34">
            <v>13722</v>
          </cell>
          <cell r="Z34">
            <v>13449</v>
          </cell>
          <cell r="AA34">
            <v>14043</v>
          </cell>
          <cell r="AB34">
            <v>12152</v>
          </cell>
        </row>
        <row r="35">
          <cell r="C35" t="str">
            <v>Brunei Darussalam</v>
          </cell>
          <cell r="D35">
            <v>197</v>
          </cell>
          <cell r="E35">
            <v>199</v>
          </cell>
          <cell r="F35">
            <v>202</v>
          </cell>
          <cell r="G35">
            <v>204</v>
          </cell>
          <cell r="H35">
            <v>188</v>
          </cell>
          <cell r="I35">
            <v>182</v>
          </cell>
          <cell r="J35">
            <v>173</v>
          </cell>
          <cell r="K35">
            <v>173</v>
          </cell>
          <cell r="L35">
            <v>161</v>
          </cell>
          <cell r="M35">
            <v>152</v>
          </cell>
          <cell r="N35">
            <v>153</v>
          </cell>
          <cell r="O35">
            <v>19</v>
          </cell>
          <cell r="P35">
            <v>25</v>
          </cell>
          <cell r="Q35">
            <v>27</v>
          </cell>
          <cell r="R35">
            <v>8</v>
          </cell>
          <cell r="S35">
            <v>9</v>
          </cell>
          <cell r="T35">
            <v>9</v>
          </cell>
          <cell r="U35">
            <v>9</v>
          </cell>
          <cell r="V35">
            <v>10</v>
          </cell>
          <cell r="W35">
            <v>16</v>
          </cell>
          <cell r="X35">
            <v>17</v>
          </cell>
          <cell r="Y35">
            <v>151</v>
          </cell>
          <cell r="Z35">
            <v>151</v>
          </cell>
          <cell r="AA35">
            <v>151</v>
          </cell>
          <cell r="AB35">
            <v>127</v>
          </cell>
        </row>
        <row r="36">
          <cell r="C36" t="str">
            <v>Bulgaria</v>
          </cell>
          <cell r="D36">
            <v>597</v>
          </cell>
          <cell r="E36">
            <v>584</v>
          </cell>
          <cell r="F36">
            <v>570</v>
          </cell>
          <cell r="G36">
            <v>576</v>
          </cell>
          <cell r="H36">
            <v>590</v>
          </cell>
          <cell r="I36">
            <v>598</v>
          </cell>
          <cell r="J36">
            <v>601</v>
          </cell>
          <cell r="K36">
            <v>603</v>
          </cell>
          <cell r="L36">
            <v>606</v>
          </cell>
          <cell r="M36">
            <v>578</v>
          </cell>
          <cell r="N36">
            <v>509</v>
          </cell>
          <cell r="O36">
            <v>286</v>
          </cell>
          <cell r="P36">
            <v>245</v>
          </cell>
          <cell r="Q36">
            <v>240</v>
          </cell>
          <cell r="R36">
            <v>233</v>
          </cell>
          <cell r="S36">
            <v>99</v>
          </cell>
          <cell r="T36">
            <v>156</v>
          </cell>
          <cell r="U36">
            <v>226</v>
          </cell>
          <cell r="V36">
            <v>254</v>
          </cell>
          <cell r="W36">
            <v>337</v>
          </cell>
          <cell r="X36">
            <v>383</v>
          </cell>
          <cell r="Y36">
            <v>769</v>
          </cell>
          <cell r="Z36">
            <v>819</v>
          </cell>
          <cell r="AA36">
            <v>867</v>
          </cell>
          <cell r="AB36">
            <v>792</v>
          </cell>
        </row>
        <row r="37">
          <cell r="C37" t="str">
            <v>Burkina Faso</v>
          </cell>
          <cell r="D37">
            <v>129</v>
          </cell>
          <cell r="E37">
            <v>128</v>
          </cell>
          <cell r="F37">
            <v>124</v>
          </cell>
          <cell r="G37">
            <v>127</v>
          </cell>
          <cell r="H37">
            <v>126</v>
          </cell>
          <cell r="I37">
            <v>126</v>
          </cell>
          <cell r="J37">
            <v>125</v>
          </cell>
          <cell r="K37">
            <v>137</v>
          </cell>
          <cell r="L37">
            <v>126</v>
          </cell>
          <cell r="M37">
            <v>125</v>
          </cell>
          <cell r="N37">
            <v>121</v>
          </cell>
          <cell r="O37">
            <v>84</v>
          </cell>
          <cell r="P37">
            <v>66</v>
          </cell>
          <cell r="Q37">
            <v>70</v>
          </cell>
          <cell r="R37">
            <v>64</v>
          </cell>
          <cell r="S37">
            <v>68</v>
          </cell>
          <cell r="T37">
            <v>77</v>
          </cell>
          <cell r="U37">
            <v>92</v>
          </cell>
          <cell r="V37">
            <v>101</v>
          </cell>
          <cell r="W37">
            <v>112</v>
          </cell>
          <cell r="X37">
            <v>118</v>
          </cell>
          <cell r="Y37">
            <v>131</v>
          </cell>
          <cell r="Z37">
            <v>133</v>
          </cell>
          <cell r="AA37">
            <v>148</v>
          </cell>
          <cell r="AB37">
            <v>130</v>
          </cell>
        </row>
        <row r="38">
          <cell r="C38" t="str">
            <v>Burundi</v>
          </cell>
          <cell r="D38">
            <v>44</v>
          </cell>
          <cell r="E38">
            <v>44</v>
          </cell>
          <cell r="F38">
            <v>44</v>
          </cell>
          <cell r="G38">
            <v>44</v>
          </cell>
          <cell r="H38">
            <v>44</v>
          </cell>
          <cell r="I38">
            <v>44</v>
          </cell>
          <cell r="J38">
            <v>44</v>
          </cell>
          <cell r="K38">
            <v>43</v>
          </cell>
          <cell r="L38">
            <v>50</v>
          </cell>
          <cell r="M38">
            <v>50</v>
          </cell>
          <cell r="N38">
            <v>50</v>
          </cell>
          <cell r="O38">
            <v>29</v>
          </cell>
          <cell r="P38">
            <v>6</v>
          </cell>
          <cell r="Q38">
            <v>16</v>
          </cell>
          <cell r="R38">
            <v>5</v>
          </cell>
          <cell r="S38">
            <v>10</v>
          </cell>
          <cell r="T38">
            <v>10</v>
          </cell>
          <cell r="U38">
            <v>4</v>
          </cell>
          <cell r="V38">
            <v>14</v>
          </cell>
          <cell r="W38">
            <v>34</v>
          </cell>
          <cell r="X38">
            <v>42</v>
          </cell>
          <cell r="Y38">
            <v>37</v>
          </cell>
          <cell r="Z38">
            <v>37</v>
          </cell>
          <cell r="AA38">
            <v>37</v>
          </cell>
          <cell r="AB38">
            <v>30</v>
          </cell>
        </row>
        <row r="39">
          <cell r="C39" t="str">
            <v>Cambodia</v>
          </cell>
          <cell r="D39">
            <v>1182</v>
          </cell>
          <cell r="E39">
            <v>1203</v>
          </cell>
          <cell r="F39">
            <v>1196</v>
          </cell>
          <cell r="G39">
            <v>1167</v>
          </cell>
          <cell r="H39">
            <v>995</v>
          </cell>
          <cell r="I39">
            <v>955</v>
          </cell>
          <cell r="J39">
            <v>929</v>
          </cell>
          <cell r="K39">
            <v>874</v>
          </cell>
          <cell r="L39">
            <v>870</v>
          </cell>
          <cell r="M39">
            <v>840</v>
          </cell>
          <cell r="N39">
            <v>815</v>
          </cell>
          <cell r="O39">
            <v>532</v>
          </cell>
          <cell r="P39">
            <v>162</v>
          </cell>
          <cell r="Q39">
            <v>123</v>
          </cell>
          <cell r="R39">
            <v>90</v>
          </cell>
          <cell r="S39">
            <v>80</v>
          </cell>
          <cell r="T39">
            <v>79</v>
          </cell>
          <cell r="U39">
            <v>108</v>
          </cell>
          <cell r="V39">
            <v>131</v>
          </cell>
          <cell r="W39">
            <v>186</v>
          </cell>
          <cell r="X39">
            <v>195</v>
          </cell>
          <cell r="Y39">
            <v>635</v>
          </cell>
          <cell r="Z39">
            <v>641</v>
          </cell>
          <cell r="AA39">
            <v>646</v>
          </cell>
          <cell r="AB39">
            <v>556</v>
          </cell>
        </row>
        <row r="40">
          <cell r="C40" t="str">
            <v>Cameroon</v>
          </cell>
          <cell r="D40">
            <v>219</v>
          </cell>
          <cell r="E40">
            <v>210</v>
          </cell>
          <cell r="F40">
            <v>219</v>
          </cell>
          <cell r="G40">
            <v>204</v>
          </cell>
          <cell r="H40">
            <v>200</v>
          </cell>
          <cell r="I40">
            <v>203</v>
          </cell>
          <cell r="J40">
            <v>201</v>
          </cell>
          <cell r="K40">
            <v>199</v>
          </cell>
          <cell r="L40">
            <v>196</v>
          </cell>
          <cell r="M40">
            <v>196</v>
          </cell>
          <cell r="N40">
            <v>187</v>
          </cell>
          <cell r="O40">
            <v>45</v>
          </cell>
          <cell r="P40">
            <v>28</v>
          </cell>
          <cell r="Q40">
            <v>17</v>
          </cell>
          <cell r="R40">
            <v>8</v>
          </cell>
          <cell r="S40">
            <v>25</v>
          </cell>
          <cell r="T40">
            <v>58</v>
          </cell>
          <cell r="U40">
            <v>37</v>
          </cell>
          <cell r="V40">
            <v>70</v>
          </cell>
          <cell r="W40">
            <v>99</v>
          </cell>
          <cell r="X40">
            <v>111</v>
          </cell>
          <cell r="Y40">
            <v>164</v>
          </cell>
          <cell r="Z40">
            <v>165</v>
          </cell>
          <cell r="AA40">
            <v>186</v>
          </cell>
          <cell r="AB40">
            <v>159</v>
          </cell>
        </row>
        <row r="41">
          <cell r="C41" t="str">
            <v>Canada</v>
          </cell>
          <cell r="D41">
            <v>24187</v>
          </cell>
          <cell r="E41">
            <v>23753</v>
          </cell>
          <cell r="F41">
            <v>23780</v>
          </cell>
          <cell r="G41">
            <v>23872</v>
          </cell>
          <cell r="H41">
            <v>24080</v>
          </cell>
          <cell r="I41">
            <v>24226</v>
          </cell>
          <cell r="J41">
            <v>24250</v>
          </cell>
          <cell r="K41">
            <v>24407</v>
          </cell>
          <cell r="L41">
            <v>24435</v>
          </cell>
          <cell r="M41">
            <v>23878</v>
          </cell>
          <cell r="N41">
            <v>23665</v>
          </cell>
          <cell r="O41">
            <v>15802</v>
          </cell>
          <cell r="P41">
            <v>10222</v>
          </cell>
          <cell r="Q41">
            <v>8600</v>
          </cell>
          <cell r="R41">
            <v>6985</v>
          </cell>
          <cell r="S41">
            <v>6161</v>
          </cell>
          <cell r="T41">
            <v>6237</v>
          </cell>
          <cell r="U41">
            <v>6928</v>
          </cell>
          <cell r="V41">
            <v>7249</v>
          </cell>
          <cell r="W41">
            <v>7897</v>
          </cell>
          <cell r="X41">
            <v>8006</v>
          </cell>
          <cell r="Y41">
            <v>20090</v>
          </cell>
          <cell r="Z41">
            <v>22894</v>
          </cell>
          <cell r="AA41">
            <v>23307</v>
          </cell>
          <cell r="AB41">
            <v>20741</v>
          </cell>
        </row>
        <row r="42">
          <cell r="C42" t="str">
            <v>Cape Verde</v>
          </cell>
          <cell r="D42">
            <v>391</v>
          </cell>
          <cell r="E42">
            <v>381</v>
          </cell>
          <cell r="F42">
            <v>375</v>
          </cell>
          <cell r="G42">
            <v>376</v>
          </cell>
          <cell r="H42">
            <v>368</v>
          </cell>
          <cell r="I42">
            <v>356</v>
          </cell>
          <cell r="J42">
            <v>347</v>
          </cell>
          <cell r="K42">
            <v>331</v>
          </cell>
          <cell r="L42">
            <v>346</v>
          </cell>
          <cell r="M42">
            <v>302</v>
          </cell>
          <cell r="N42">
            <v>290</v>
          </cell>
          <cell r="O42">
            <v>161</v>
          </cell>
          <cell r="P42">
            <v>57</v>
          </cell>
          <cell r="Q42">
            <v>53</v>
          </cell>
          <cell r="R42">
            <v>73</v>
          </cell>
          <cell r="S42">
            <v>14</v>
          </cell>
          <cell r="T42">
            <v>18</v>
          </cell>
          <cell r="U42">
            <v>78</v>
          </cell>
          <cell r="V42">
            <v>82</v>
          </cell>
          <cell r="W42">
            <v>115</v>
          </cell>
          <cell r="X42">
            <v>123</v>
          </cell>
          <cell r="Y42">
            <v>214</v>
          </cell>
          <cell r="Z42">
            <v>227</v>
          </cell>
          <cell r="AA42">
            <v>246</v>
          </cell>
          <cell r="AB42">
            <v>209</v>
          </cell>
        </row>
        <row r="43">
          <cell r="C43" t="str">
            <v>Cayman Islands</v>
          </cell>
          <cell r="D43">
            <v>312</v>
          </cell>
          <cell r="E43">
            <v>303</v>
          </cell>
          <cell r="F43">
            <v>297</v>
          </cell>
          <cell r="G43">
            <v>297</v>
          </cell>
          <cell r="H43">
            <v>297</v>
          </cell>
          <cell r="I43">
            <v>308</v>
          </cell>
          <cell r="J43">
            <v>316</v>
          </cell>
          <cell r="K43">
            <v>315</v>
          </cell>
          <cell r="L43">
            <v>330</v>
          </cell>
          <cell r="M43">
            <v>341</v>
          </cell>
          <cell r="N43">
            <v>340</v>
          </cell>
          <cell r="O43">
            <v>266</v>
          </cell>
          <cell r="P43">
            <v>227</v>
          </cell>
          <cell r="Q43">
            <v>225</v>
          </cell>
          <cell r="R43">
            <v>211</v>
          </cell>
          <cell r="S43">
            <v>205</v>
          </cell>
          <cell r="T43">
            <v>207</v>
          </cell>
          <cell r="U43">
            <v>205</v>
          </cell>
          <cell r="V43">
            <v>206</v>
          </cell>
          <cell r="W43">
            <v>205</v>
          </cell>
          <cell r="X43">
            <v>205</v>
          </cell>
          <cell r="Y43">
            <v>229</v>
          </cell>
          <cell r="Z43">
            <v>235</v>
          </cell>
          <cell r="AA43">
            <v>237</v>
          </cell>
          <cell r="AB43">
            <v>204</v>
          </cell>
        </row>
        <row r="44">
          <cell r="C44" t="str">
            <v>Central African Republic</v>
          </cell>
          <cell r="D44">
            <v>29</v>
          </cell>
          <cell r="E44">
            <v>29</v>
          </cell>
          <cell r="F44">
            <v>29</v>
          </cell>
          <cell r="G44">
            <v>29</v>
          </cell>
          <cell r="H44">
            <v>29</v>
          </cell>
          <cell r="I44">
            <v>29</v>
          </cell>
          <cell r="J44">
            <v>29</v>
          </cell>
          <cell r="K44">
            <v>29</v>
          </cell>
          <cell r="L44">
            <v>29</v>
          </cell>
          <cell r="M44">
            <v>31</v>
          </cell>
          <cell r="N44">
            <v>29</v>
          </cell>
          <cell r="O44">
            <v>18</v>
          </cell>
          <cell r="P44">
            <v>2</v>
          </cell>
          <cell r="Q44">
            <v>4</v>
          </cell>
          <cell r="R44">
            <v>0</v>
          </cell>
          <cell r="S44">
            <v>0</v>
          </cell>
          <cell r="T44">
            <v>5</v>
          </cell>
          <cell r="U44">
            <v>0</v>
          </cell>
          <cell r="V44">
            <v>4</v>
          </cell>
          <cell r="W44">
            <v>22</v>
          </cell>
          <cell r="X44">
            <v>22</v>
          </cell>
          <cell r="Y44">
            <v>25</v>
          </cell>
          <cell r="Z44">
            <v>25</v>
          </cell>
          <cell r="AA44">
            <v>29</v>
          </cell>
          <cell r="AB44">
            <v>26</v>
          </cell>
        </row>
        <row r="45">
          <cell r="C45" t="str">
            <v>Chad</v>
          </cell>
          <cell r="D45">
            <v>80</v>
          </cell>
          <cell r="E45">
            <v>68</v>
          </cell>
          <cell r="F45">
            <v>79</v>
          </cell>
          <cell r="G45">
            <v>74</v>
          </cell>
          <cell r="H45">
            <v>76</v>
          </cell>
          <cell r="I45">
            <v>76</v>
          </cell>
          <cell r="J45">
            <v>77</v>
          </cell>
          <cell r="K45">
            <v>68</v>
          </cell>
          <cell r="L45">
            <v>69</v>
          </cell>
          <cell r="M45">
            <v>74</v>
          </cell>
          <cell r="N45">
            <v>65</v>
          </cell>
          <cell r="O45">
            <v>33</v>
          </cell>
          <cell r="P45">
            <v>67</v>
          </cell>
          <cell r="Q45">
            <v>68</v>
          </cell>
          <cell r="R45">
            <v>67</v>
          </cell>
          <cell r="S45">
            <v>66</v>
          </cell>
          <cell r="T45">
            <v>41</v>
          </cell>
          <cell r="U45">
            <v>38</v>
          </cell>
          <cell r="V45">
            <v>44</v>
          </cell>
          <cell r="W45">
            <v>57</v>
          </cell>
          <cell r="X45">
            <v>61</v>
          </cell>
          <cell r="Y45">
            <v>67</v>
          </cell>
          <cell r="Z45">
            <v>68</v>
          </cell>
          <cell r="AA45">
            <v>76</v>
          </cell>
          <cell r="AB45">
            <v>61</v>
          </cell>
        </row>
        <row r="46">
          <cell r="C46" t="str">
            <v>Chile</v>
          </cell>
          <cell r="D46">
            <v>3247</v>
          </cell>
          <cell r="E46">
            <v>3224</v>
          </cell>
          <cell r="F46">
            <v>3237</v>
          </cell>
          <cell r="G46">
            <v>3298</v>
          </cell>
          <cell r="H46">
            <v>3311</v>
          </cell>
          <cell r="I46">
            <v>3285</v>
          </cell>
          <cell r="J46">
            <v>3341</v>
          </cell>
          <cell r="K46">
            <v>3314</v>
          </cell>
          <cell r="L46">
            <v>2798</v>
          </cell>
          <cell r="M46">
            <v>2675</v>
          </cell>
          <cell r="N46">
            <v>2681</v>
          </cell>
          <cell r="O46">
            <v>2284</v>
          </cell>
          <cell r="P46">
            <v>662</v>
          </cell>
          <cell r="Q46">
            <v>389</v>
          </cell>
          <cell r="R46">
            <v>384</v>
          </cell>
          <cell r="S46">
            <v>416</v>
          </cell>
          <cell r="T46">
            <v>502</v>
          </cell>
          <cell r="U46">
            <v>465</v>
          </cell>
          <cell r="V46">
            <v>437</v>
          </cell>
          <cell r="W46">
            <v>440</v>
          </cell>
          <cell r="X46">
            <v>436</v>
          </cell>
          <cell r="Y46">
            <v>2012</v>
          </cell>
          <cell r="Z46">
            <v>2043</v>
          </cell>
          <cell r="AA46">
            <v>2056</v>
          </cell>
          <cell r="AB46">
            <v>1772</v>
          </cell>
        </row>
        <row r="47">
          <cell r="C47" t="str">
            <v>China</v>
          </cell>
          <cell r="D47">
            <v>114888</v>
          </cell>
          <cell r="E47">
            <v>118650</v>
          </cell>
          <cell r="F47">
            <v>115396</v>
          </cell>
          <cell r="G47">
            <v>115588</v>
          </cell>
          <cell r="H47">
            <v>85110</v>
          </cell>
          <cell r="I47">
            <v>42761</v>
          </cell>
          <cell r="J47">
            <v>33397</v>
          </cell>
          <cell r="K47">
            <v>42046</v>
          </cell>
          <cell r="L47">
            <v>63179</v>
          </cell>
          <cell r="M47">
            <v>61200</v>
          </cell>
          <cell r="N47">
            <v>64426</v>
          </cell>
          <cell r="O47">
            <v>65735</v>
          </cell>
          <cell r="P47">
            <v>61072</v>
          </cell>
          <cell r="Q47">
            <v>59699</v>
          </cell>
          <cell r="R47">
            <v>63787</v>
          </cell>
          <cell r="S47">
            <v>63298</v>
          </cell>
          <cell r="T47">
            <v>66837</v>
          </cell>
          <cell r="U47">
            <v>74459</v>
          </cell>
          <cell r="V47">
            <v>86080</v>
          </cell>
          <cell r="W47">
            <v>92520</v>
          </cell>
          <cell r="X47">
            <v>93164</v>
          </cell>
          <cell r="Y47">
            <v>107164</v>
          </cell>
          <cell r="Z47">
            <v>107670</v>
          </cell>
          <cell r="AA47">
            <v>107810</v>
          </cell>
          <cell r="AB47">
            <v>92449</v>
          </cell>
        </row>
        <row r="48">
          <cell r="C48" t="str">
            <v>Chinese Taipei</v>
          </cell>
          <cell r="D48">
            <v>4886</v>
          </cell>
          <cell r="E48">
            <v>4794</v>
          </cell>
          <cell r="F48">
            <v>4966</v>
          </cell>
          <cell r="G48">
            <v>4470</v>
          </cell>
          <cell r="H48">
            <v>4284</v>
          </cell>
          <cell r="I48">
            <v>3731</v>
          </cell>
          <cell r="J48">
            <v>3019</v>
          </cell>
          <cell r="K48">
            <v>2771</v>
          </cell>
          <cell r="L48">
            <v>2433</v>
          </cell>
          <cell r="M48">
            <v>2235</v>
          </cell>
          <cell r="N48">
            <v>2197</v>
          </cell>
          <cell r="O48">
            <v>1851</v>
          </cell>
          <cell r="P48">
            <v>1773</v>
          </cell>
          <cell r="Q48">
            <v>1500</v>
          </cell>
          <cell r="R48">
            <v>1387</v>
          </cell>
          <cell r="S48">
            <v>1273</v>
          </cell>
          <cell r="T48">
            <v>1358</v>
          </cell>
          <cell r="U48">
            <v>1249</v>
          </cell>
          <cell r="V48">
            <v>1311</v>
          </cell>
          <cell r="W48">
            <v>1337</v>
          </cell>
          <cell r="X48">
            <v>1362</v>
          </cell>
          <cell r="Y48">
            <v>3608</v>
          </cell>
          <cell r="Z48">
            <v>3664</v>
          </cell>
          <cell r="AA48">
            <v>3733</v>
          </cell>
          <cell r="AB48">
            <v>2985</v>
          </cell>
        </row>
        <row r="49">
          <cell r="C49" t="str">
            <v>Christmas Island, Indian Ocean</v>
          </cell>
          <cell r="D49">
            <v>3</v>
          </cell>
          <cell r="E49">
            <v>2</v>
          </cell>
          <cell r="F49">
            <v>3</v>
          </cell>
          <cell r="G49">
            <v>2</v>
          </cell>
          <cell r="H49">
            <v>2</v>
          </cell>
          <cell r="I49">
            <v>2</v>
          </cell>
          <cell r="J49">
            <v>2</v>
          </cell>
          <cell r="K49">
            <v>2</v>
          </cell>
          <cell r="L49">
            <v>2</v>
          </cell>
          <cell r="M49">
            <v>2</v>
          </cell>
          <cell r="N49">
            <v>2</v>
          </cell>
          <cell r="O49">
            <v>2</v>
          </cell>
          <cell r="P49">
            <v>2</v>
          </cell>
          <cell r="Q49">
            <v>2</v>
          </cell>
          <cell r="R49">
            <v>2</v>
          </cell>
          <cell r="S49">
            <v>2</v>
          </cell>
          <cell r="T49">
            <v>2</v>
          </cell>
          <cell r="U49">
            <v>2</v>
          </cell>
          <cell r="V49">
            <v>2</v>
          </cell>
          <cell r="W49">
            <v>2</v>
          </cell>
          <cell r="X49">
            <v>2</v>
          </cell>
          <cell r="Y49">
            <v>2</v>
          </cell>
          <cell r="Z49">
            <v>2</v>
          </cell>
          <cell r="AA49">
            <v>2</v>
          </cell>
          <cell r="AB49">
            <v>2</v>
          </cell>
        </row>
        <row r="50">
          <cell r="C50" t="str">
            <v>Cocos (keeling) Islands</v>
          </cell>
          <cell r="D50">
            <v>2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2</v>
          </cell>
          <cell r="K50">
            <v>2</v>
          </cell>
          <cell r="L50">
            <v>2</v>
          </cell>
          <cell r="M50">
            <v>2</v>
          </cell>
          <cell r="N50">
            <v>2</v>
          </cell>
          <cell r="O50">
            <v>2</v>
          </cell>
          <cell r="P50">
            <v>2</v>
          </cell>
          <cell r="Q50">
            <v>2</v>
          </cell>
          <cell r="R50">
            <v>2</v>
          </cell>
          <cell r="S50">
            <v>2</v>
          </cell>
          <cell r="T50">
            <v>2</v>
          </cell>
          <cell r="U50">
            <v>2</v>
          </cell>
          <cell r="V50">
            <v>2</v>
          </cell>
          <cell r="W50">
            <v>2</v>
          </cell>
          <cell r="X50">
            <v>2</v>
          </cell>
          <cell r="Y50">
            <v>2</v>
          </cell>
          <cell r="Z50">
            <v>2</v>
          </cell>
          <cell r="AA50">
            <v>2</v>
          </cell>
          <cell r="AB50">
            <v>2</v>
          </cell>
        </row>
        <row r="51">
          <cell r="C51" t="str">
            <v>Colombia</v>
          </cell>
          <cell r="D51">
            <v>6929</v>
          </cell>
          <cell r="E51">
            <v>6965</v>
          </cell>
          <cell r="F51">
            <v>6854</v>
          </cell>
          <cell r="G51">
            <v>6799</v>
          </cell>
          <cell r="H51">
            <v>6705</v>
          </cell>
          <cell r="I51">
            <v>6846</v>
          </cell>
          <cell r="J51">
            <v>6872</v>
          </cell>
          <cell r="K51">
            <v>7197</v>
          </cell>
          <cell r="L51">
            <v>7251</v>
          </cell>
          <cell r="M51">
            <v>7304</v>
          </cell>
          <cell r="N51">
            <v>7066</v>
          </cell>
          <cell r="O51">
            <v>5371</v>
          </cell>
          <cell r="P51">
            <v>2746</v>
          </cell>
          <cell r="Q51">
            <v>1326</v>
          </cell>
          <cell r="R51">
            <v>1371</v>
          </cell>
          <cell r="S51">
            <v>1293</v>
          </cell>
          <cell r="T51">
            <v>1187</v>
          </cell>
          <cell r="U51">
            <v>1885</v>
          </cell>
          <cell r="V51">
            <v>2103</v>
          </cell>
          <cell r="W51">
            <v>2043</v>
          </cell>
          <cell r="X51">
            <v>2051</v>
          </cell>
          <cell r="Y51">
            <v>4786</v>
          </cell>
          <cell r="Z51">
            <v>4961</v>
          </cell>
          <cell r="AA51">
            <v>4968</v>
          </cell>
          <cell r="AB51">
            <v>4424</v>
          </cell>
        </row>
        <row r="52">
          <cell r="C52" t="str">
            <v>Comoros</v>
          </cell>
          <cell r="D52">
            <v>138</v>
          </cell>
          <cell r="E52">
            <v>137</v>
          </cell>
          <cell r="F52">
            <v>138</v>
          </cell>
          <cell r="G52">
            <v>137</v>
          </cell>
          <cell r="H52">
            <v>137</v>
          </cell>
          <cell r="I52">
            <v>134</v>
          </cell>
          <cell r="J52">
            <v>134</v>
          </cell>
          <cell r="K52">
            <v>135</v>
          </cell>
          <cell r="L52">
            <v>140</v>
          </cell>
          <cell r="M52">
            <v>141</v>
          </cell>
          <cell r="N52">
            <v>143</v>
          </cell>
          <cell r="O52">
            <v>122</v>
          </cell>
          <cell r="P52">
            <v>100</v>
          </cell>
          <cell r="Q52">
            <v>63</v>
          </cell>
          <cell r="R52">
            <v>63</v>
          </cell>
          <cell r="S52">
            <v>68</v>
          </cell>
          <cell r="T52">
            <v>68</v>
          </cell>
          <cell r="U52">
            <v>59</v>
          </cell>
          <cell r="V52">
            <v>66</v>
          </cell>
          <cell r="W52">
            <v>75</v>
          </cell>
          <cell r="X52">
            <v>82</v>
          </cell>
          <cell r="Y52">
            <v>85</v>
          </cell>
          <cell r="Z52">
            <v>85</v>
          </cell>
          <cell r="AA52">
            <v>84</v>
          </cell>
          <cell r="AB52">
            <v>75</v>
          </cell>
        </row>
        <row r="53">
          <cell r="C53" t="str">
            <v>Congo</v>
          </cell>
          <cell r="D53">
            <v>141</v>
          </cell>
          <cell r="E53">
            <v>138</v>
          </cell>
          <cell r="F53">
            <v>139</v>
          </cell>
          <cell r="G53">
            <v>140</v>
          </cell>
          <cell r="H53">
            <v>137</v>
          </cell>
          <cell r="I53">
            <v>143</v>
          </cell>
          <cell r="J53">
            <v>142</v>
          </cell>
          <cell r="K53">
            <v>141</v>
          </cell>
          <cell r="L53">
            <v>140</v>
          </cell>
          <cell r="M53">
            <v>140</v>
          </cell>
          <cell r="N53">
            <v>131</v>
          </cell>
          <cell r="O53">
            <v>76</v>
          </cell>
          <cell r="P53">
            <v>54</v>
          </cell>
          <cell r="Q53">
            <v>47</v>
          </cell>
          <cell r="R53">
            <v>39</v>
          </cell>
          <cell r="S53">
            <v>43</v>
          </cell>
          <cell r="T53">
            <v>56</v>
          </cell>
          <cell r="U53">
            <v>32</v>
          </cell>
          <cell r="V53">
            <v>46</v>
          </cell>
          <cell r="W53">
            <v>75</v>
          </cell>
          <cell r="X53">
            <v>83</v>
          </cell>
          <cell r="Y53">
            <v>95</v>
          </cell>
          <cell r="Z53">
            <v>97</v>
          </cell>
          <cell r="AA53">
            <v>112</v>
          </cell>
          <cell r="AB53">
            <v>102</v>
          </cell>
        </row>
        <row r="54">
          <cell r="C54" t="str">
            <v>Congo Democratic Republic of</v>
          </cell>
          <cell r="D54">
            <v>453</v>
          </cell>
          <cell r="E54">
            <v>455</v>
          </cell>
          <cell r="F54">
            <v>469</v>
          </cell>
          <cell r="G54">
            <v>453</v>
          </cell>
          <cell r="H54">
            <v>448</v>
          </cell>
          <cell r="I54">
            <v>439</v>
          </cell>
          <cell r="J54">
            <v>437</v>
          </cell>
          <cell r="K54">
            <v>469</v>
          </cell>
          <cell r="L54">
            <v>447</v>
          </cell>
          <cell r="M54">
            <v>485</v>
          </cell>
          <cell r="N54">
            <v>472</v>
          </cell>
          <cell r="O54">
            <v>394</v>
          </cell>
          <cell r="P54">
            <v>325</v>
          </cell>
          <cell r="Q54">
            <v>340</v>
          </cell>
          <cell r="R54">
            <v>186</v>
          </cell>
          <cell r="S54">
            <v>196</v>
          </cell>
          <cell r="T54">
            <v>180</v>
          </cell>
          <cell r="U54">
            <v>103</v>
          </cell>
          <cell r="V54">
            <v>110</v>
          </cell>
          <cell r="W54">
            <v>164</v>
          </cell>
          <cell r="X54">
            <v>177</v>
          </cell>
          <cell r="Y54">
            <v>187</v>
          </cell>
          <cell r="Z54">
            <v>187</v>
          </cell>
          <cell r="AA54">
            <v>209</v>
          </cell>
          <cell r="AB54">
            <v>190</v>
          </cell>
        </row>
        <row r="55">
          <cell r="C55" t="str">
            <v>Cook Islands</v>
          </cell>
          <cell r="D55">
            <v>80</v>
          </cell>
          <cell r="E55">
            <v>71</v>
          </cell>
          <cell r="F55">
            <v>69</v>
          </cell>
          <cell r="G55">
            <v>63</v>
          </cell>
          <cell r="H55">
            <v>57</v>
          </cell>
          <cell r="I55">
            <v>57</v>
          </cell>
          <cell r="J55">
            <v>59</v>
          </cell>
          <cell r="K55">
            <v>60</v>
          </cell>
          <cell r="L55">
            <v>60</v>
          </cell>
          <cell r="M55">
            <v>60</v>
          </cell>
          <cell r="N55">
            <v>62</v>
          </cell>
          <cell r="O55">
            <v>60</v>
          </cell>
          <cell r="P55">
            <v>56</v>
          </cell>
          <cell r="Q55">
            <v>56</v>
          </cell>
          <cell r="R55">
            <v>55</v>
          </cell>
          <cell r="S55">
            <v>55</v>
          </cell>
          <cell r="T55">
            <v>55</v>
          </cell>
          <cell r="U55">
            <v>55</v>
          </cell>
          <cell r="V55">
            <v>55</v>
          </cell>
          <cell r="W55">
            <v>55</v>
          </cell>
          <cell r="X55">
            <v>55</v>
          </cell>
          <cell r="Y55">
            <v>59</v>
          </cell>
          <cell r="Z55">
            <v>59</v>
          </cell>
          <cell r="AA55">
            <v>59</v>
          </cell>
          <cell r="AB55">
            <v>53</v>
          </cell>
        </row>
        <row r="56">
          <cell r="C56" t="str">
            <v>Costa Rica</v>
          </cell>
          <cell r="D56">
            <v>1654</v>
          </cell>
          <cell r="E56">
            <v>1648</v>
          </cell>
          <cell r="F56">
            <v>1647</v>
          </cell>
          <cell r="G56">
            <v>1464</v>
          </cell>
          <cell r="H56">
            <v>1645</v>
          </cell>
          <cell r="I56">
            <v>1652</v>
          </cell>
          <cell r="J56">
            <v>1652</v>
          </cell>
          <cell r="K56">
            <v>1647</v>
          </cell>
          <cell r="L56">
            <v>1663</v>
          </cell>
          <cell r="M56">
            <v>1668</v>
          </cell>
          <cell r="N56">
            <v>1670</v>
          </cell>
          <cell r="O56">
            <v>925</v>
          </cell>
          <cell r="P56">
            <v>825</v>
          </cell>
          <cell r="Q56">
            <v>727</v>
          </cell>
          <cell r="R56">
            <v>697</v>
          </cell>
          <cell r="S56">
            <v>688</v>
          </cell>
          <cell r="T56">
            <v>450</v>
          </cell>
          <cell r="U56">
            <v>637</v>
          </cell>
          <cell r="V56">
            <v>639</v>
          </cell>
          <cell r="W56">
            <v>653</v>
          </cell>
          <cell r="X56">
            <v>653</v>
          </cell>
          <cell r="Y56">
            <v>175</v>
          </cell>
          <cell r="Z56">
            <v>204</v>
          </cell>
          <cell r="AA56">
            <v>231</v>
          </cell>
          <cell r="AB56">
            <v>207</v>
          </cell>
        </row>
        <row r="57">
          <cell r="C57" t="str">
            <v>Cote D'Ivoire</v>
          </cell>
          <cell r="D57">
            <v>195</v>
          </cell>
          <cell r="E57">
            <v>188</v>
          </cell>
          <cell r="F57">
            <v>185</v>
          </cell>
          <cell r="G57">
            <v>186</v>
          </cell>
          <cell r="H57">
            <v>185</v>
          </cell>
          <cell r="I57">
            <v>187</v>
          </cell>
          <cell r="J57">
            <v>189</v>
          </cell>
          <cell r="K57">
            <v>188</v>
          </cell>
          <cell r="L57">
            <v>183</v>
          </cell>
          <cell r="M57">
            <v>182</v>
          </cell>
          <cell r="N57">
            <v>173</v>
          </cell>
          <cell r="O57">
            <v>84</v>
          </cell>
          <cell r="P57">
            <v>40</v>
          </cell>
          <cell r="Q57">
            <v>47</v>
          </cell>
          <cell r="R57">
            <v>42</v>
          </cell>
          <cell r="S57">
            <v>38</v>
          </cell>
          <cell r="T57">
            <v>34</v>
          </cell>
          <cell r="U57">
            <v>39</v>
          </cell>
          <cell r="V57">
            <v>50</v>
          </cell>
          <cell r="W57">
            <v>72</v>
          </cell>
          <cell r="X57">
            <v>80</v>
          </cell>
          <cell r="Y57">
            <v>131</v>
          </cell>
          <cell r="Z57">
            <v>142</v>
          </cell>
          <cell r="AA57">
            <v>165</v>
          </cell>
          <cell r="AB57">
            <v>158</v>
          </cell>
        </row>
        <row r="58">
          <cell r="C58" t="str">
            <v>Croatia</v>
          </cell>
          <cell r="D58">
            <v>460</v>
          </cell>
          <cell r="E58">
            <v>453</v>
          </cell>
          <cell r="F58">
            <v>447</v>
          </cell>
          <cell r="G58">
            <v>454</v>
          </cell>
          <cell r="H58">
            <v>456</v>
          </cell>
          <cell r="I58">
            <v>460</v>
          </cell>
          <cell r="J58">
            <v>469</v>
          </cell>
          <cell r="K58">
            <v>471</v>
          </cell>
          <cell r="L58">
            <v>480</v>
          </cell>
          <cell r="M58">
            <v>466</v>
          </cell>
          <cell r="N58">
            <v>451</v>
          </cell>
          <cell r="O58">
            <v>249</v>
          </cell>
          <cell r="P58">
            <v>55</v>
          </cell>
          <cell r="Q58">
            <v>29</v>
          </cell>
          <cell r="R58">
            <v>23</v>
          </cell>
          <cell r="S58">
            <v>20</v>
          </cell>
          <cell r="T58">
            <v>32</v>
          </cell>
          <cell r="U58">
            <v>46</v>
          </cell>
          <cell r="V58">
            <v>156</v>
          </cell>
          <cell r="W58">
            <v>338</v>
          </cell>
          <cell r="X58">
            <v>454</v>
          </cell>
          <cell r="Y58">
            <v>1241</v>
          </cell>
          <cell r="Z58">
            <v>1280</v>
          </cell>
          <cell r="AA58">
            <v>1362</v>
          </cell>
          <cell r="AB58">
            <v>1272</v>
          </cell>
        </row>
        <row r="59">
          <cell r="C59" t="str">
            <v>Cuba</v>
          </cell>
          <cell r="D59">
            <v>801</v>
          </cell>
          <cell r="E59">
            <v>790</v>
          </cell>
          <cell r="F59">
            <v>787</v>
          </cell>
          <cell r="G59">
            <v>791</v>
          </cell>
          <cell r="H59">
            <v>787</v>
          </cell>
          <cell r="I59">
            <v>802</v>
          </cell>
          <cell r="J59">
            <v>808</v>
          </cell>
          <cell r="K59">
            <v>817</v>
          </cell>
          <cell r="L59">
            <v>809</v>
          </cell>
          <cell r="M59">
            <v>814</v>
          </cell>
          <cell r="N59">
            <v>806</v>
          </cell>
          <cell r="O59">
            <v>642</v>
          </cell>
          <cell r="P59">
            <v>336</v>
          </cell>
          <cell r="Q59">
            <v>238</v>
          </cell>
          <cell r="R59">
            <v>80</v>
          </cell>
          <cell r="S59">
            <v>58</v>
          </cell>
          <cell r="T59">
            <v>124</v>
          </cell>
          <cell r="U59">
            <v>172</v>
          </cell>
          <cell r="V59">
            <v>175</v>
          </cell>
          <cell r="W59">
            <v>198</v>
          </cell>
          <cell r="X59">
            <v>206</v>
          </cell>
          <cell r="Y59">
            <v>389</v>
          </cell>
          <cell r="Z59">
            <v>423</v>
          </cell>
          <cell r="AA59">
            <v>477</v>
          </cell>
          <cell r="AB59">
            <v>415</v>
          </cell>
        </row>
        <row r="60">
          <cell r="C60" t="str">
            <v>Curacao</v>
          </cell>
          <cell r="D60">
            <v>312</v>
          </cell>
          <cell r="E60">
            <v>312</v>
          </cell>
          <cell r="F60">
            <v>312</v>
          </cell>
          <cell r="G60">
            <v>307</v>
          </cell>
          <cell r="H60">
            <v>315</v>
          </cell>
          <cell r="I60">
            <v>294</v>
          </cell>
          <cell r="J60">
            <v>296</v>
          </cell>
          <cell r="K60">
            <v>294</v>
          </cell>
          <cell r="L60">
            <v>292</v>
          </cell>
          <cell r="M60">
            <v>293</v>
          </cell>
          <cell r="N60">
            <v>295</v>
          </cell>
          <cell r="O60">
            <v>225</v>
          </cell>
          <cell r="P60">
            <v>165</v>
          </cell>
          <cell r="Q60">
            <v>161</v>
          </cell>
          <cell r="R60">
            <v>160</v>
          </cell>
          <cell r="S60">
            <v>160</v>
          </cell>
          <cell r="T60">
            <v>150</v>
          </cell>
          <cell r="U60">
            <v>156</v>
          </cell>
          <cell r="V60">
            <v>164</v>
          </cell>
          <cell r="W60">
            <v>164</v>
          </cell>
          <cell r="X60">
            <v>171</v>
          </cell>
          <cell r="Y60">
            <v>197</v>
          </cell>
          <cell r="Z60">
            <v>202</v>
          </cell>
          <cell r="AA60">
            <v>203</v>
          </cell>
          <cell r="AB60">
            <v>174</v>
          </cell>
        </row>
        <row r="61">
          <cell r="C61" t="str">
            <v>Cyprus</v>
          </cell>
          <cell r="D61">
            <v>637</v>
          </cell>
          <cell r="E61">
            <v>612</v>
          </cell>
          <cell r="F61">
            <v>617</v>
          </cell>
          <cell r="G61">
            <v>618</v>
          </cell>
          <cell r="H61">
            <v>624</v>
          </cell>
          <cell r="I61">
            <v>648</v>
          </cell>
          <cell r="J61">
            <v>656</v>
          </cell>
          <cell r="K61">
            <v>646</v>
          </cell>
          <cell r="L61">
            <v>659</v>
          </cell>
          <cell r="M61">
            <v>645</v>
          </cell>
          <cell r="N61">
            <v>610</v>
          </cell>
          <cell r="O61">
            <v>162</v>
          </cell>
          <cell r="P61">
            <v>108</v>
          </cell>
          <cell r="Q61">
            <v>91</v>
          </cell>
          <cell r="R61">
            <v>87</v>
          </cell>
          <cell r="S61">
            <v>28</v>
          </cell>
          <cell r="T61">
            <v>63</v>
          </cell>
          <cell r="U61">
            <v>84</v>
          </cell>
          <cell r="V61">
            <v>145</v>
          </cell>
          <cell r="W61">
            <v>276</v>
          </cell>
          <cell r="X61">
            <v>370</v>
          </cell>
          <cell r="Y61">
            <v>859</v>
          </cell>
          <cell r="Z61">
            <v>885</v>
          </cell>
          <cell r="AA61">
            <v>952</v>
          </cell>
          <cell r="AB61">
            <v>835</v>
          </cell>
        </row>
        <row r="62">
          <cell r="C62" t="str">
            <v>Czech Republic</v>
          </cell>
          <cell r="D62">
            <v>1021</v>
          </cell>
          <cell r="E62">
            <v>965</v>
          </cell>
          <cell r="F62">
            <v>960</v>
          </cell>
          <cell r="G62">
            <v>969</v>
          </cell>
          <cell r="H62">
            <v>981</v>
          </cell>
          <cell r="I62">
            <v>1018</v>
          </cell>
          <cell r="J62">
            <v>1042</v>
          </cell>
          <cell r="K62">
            <v>1058</v>
          </cell>
          <cell r="L62">
            <v>1071</v>
          </cell>
          <cell r="M62">
            <v>1046</v>
          </cell>
          <cell r="N62">
            <v>759</v>
          </cell>
          <cell r="O62">
            <v>184</v>
          </cell>
          <cell r="P62">
            <v>54</v>
          </cell>
          <cell r="Q62">
            <v>54</v>
          </cell>
          <cell r="R62">
            <v>48</v>
          </cell>
          <cell r="S62">
            <v>61</v>
          </cell>
          <cell r="T62">
            <v>72</v>
          </cell>
          <cell r="U62">
            <v>80</v>
          </cell>
          <cell r="V62">
            <v>113</v>
          </cell>
          <cell r="W62">
            <v>419</v>
          </cell>
          <cell r="X62">
            <v>470</v>
          </cell>
          <cell r="Y62">
            <v>1185</v>
          </cell>
          <cell r="Z62">
            <v>1253</v>
          </cell>
          <cell r="AA62">
            <v>1277</v>
          </cell>
          <cell r="AB62">
            <v>1080</v>
          </cell>
        </row>
        <row r="63">
          <cell r="C63" t="str">
            <v>Denmark</v>
          </cell>
          <cell r="D63">
            <v>2661</v>
          </cell>
          <cell r="E63">
            <v>2663</v>
          </cell>
          <cell r="F63">
            <v>2665</v>
          </cell>
          <cell r="G63">
            <v>2716</v>
          </cell>
          <cell r="H63">
            <v>2808</v>
          </cell>
          <cell r="I63">
            <v>2704</v>
          </cell>
          <cell r="J63">
            <v>2792</v>
          </cell>
          <cell r="K63">
            <v>2894</v>
          </cell>
          <cell r="L63">
            <v>2932</v>
          </cell>
          <cell r="M63">
            <v>2856</v>
          </cell>
          <cell r="N63">
            <v>2452</v>
          </cell>
          <cell r="O63">
            <v>779</v>
          </cell>
          <cell r="P63">
            <v>334</v>
          </cell>
          <cell r="Q63">
            <v>358</v>
          </cell>
          <cell r="R63">
            <v>238</v>
          </cell>
          <cell r="S63">
            <v>226</v>
          </cell>
          <cell r="T63">
            <v>209</v>
          </cell>
          <cell r="U63">
            <v>292</v>
          </cell>
          <cell r="V63">
            <v>1404</v>
          </cell>
          <cell r="W63">
            <v>1677</v>
          </cell>
          <cell r="X63">
            <v>1883</v>
          </cell>
          <cell r="Y63">
            <v>2782</v>
          </cell>
          <cell r="Z63">
            <v>3085</v>
          </cell>
          <cell r="AA63">
            <v>2974</v>
          </cell>
          <cell r="AB63">
            <v>2524</v>
          </cell>
        </row>
        <row r="64">
          <cell r="C64" t="str">
            <v>Djibouti</v>
          </cell>
          <cell r="D64">
            <v>60</v>
          </cell>
          <cell r="E64">
            <v>61</v>
          </cell>
          <cell r="F64">
            <v>61</v>
          </cell>
          <cell r="G64">
            <v>61</v>
          </cell>
          <cell r="H64">
            <v>59</v>
          </cell>
          <cell r="I64">
            <v>61</v>
          </cell>
          <cell r="J64">
            <v>61</v>
          </cell>
          <cell r="K64">
            <v>60</v>
          </cell>
          <cell r="L64">
            <v>55</v>
          </cell>
          <cell r="M64">
            <v>55</v>
          </cell>
          <cell r="N64">
            <v>51</v>
          </cell>
          <cell r="O64">
            <v>4</v>
          </cell>
          <cell r="P64">
            <v>3</v>
          </cell>
          <cell r="Q64">
            <v>3</v>
          </cell>
          <cell r="R64">
            <v>3</v>
          </cell>
          <cell r="S64">
            <v>3</v>
          </cell>
          <cell r="T64">
            <v>12</v>
          </cell>
          <cell r="U64">
            <v>3</v>
          </cell>
          <cell r="V64">
            <v>9</v>
          </cell>
          <cell r="W64">
            <v>29</v>
          </cell>
          <cell r="X64">
            <v>40</v>
          </cell>
          <cell r="Y64">
            <v>54</v>
          </cell>
          <cell r="Z64">
            <v>54</v>
          </cell>
          <cell r="AA64">
            <v>55</v>
          </cell>
          <cell r="AB64">
            <v>45</v>
          </cell>
        </row>
        <row r="65">
          <cell r="C65" t="str">
            <v>Dominica</v>
          </cell>
          <cell r="D65">
            <v>93</v>
          </cell>
          <cell r="E65">
            <v>91</v>
          </cell>
          <cell r="F65">
            <v>91</v>
          </cell>
          <cell r="G65">
            <v>91</v>
          </cell>
          <cell r="H65">
            <v>91</v>
          </cell>
          <cell r="I65">
            <v>95</v>
          </cell>
          <cell r="J65">
            <v>91</v>
          </cell>
          <cell r="K65">
            <v>91</v>
          </cell>
          <cell r="L65">
            <v>92</v>
          </cell>
          <cell r="M65">
            <v>92</v>
          </cell>
          <cell r="N65">
            <v>92</v>
          </cell>
          <cell r="O65">
            <v>95</v>
          </cell>
          <cell r="P65">
            <v>91</v>
          </cell>
          <cell r="Q65">
            <v>93</v>
          </cell>
          <cell r="R65">
            <v>62</v>
          </cell>
          <cell r="S65">
            <v>94</v>
          </cell>
          <cell r="T65">
            <v>56</v>
          </cell>
          <cell r="U65">
            <v>63</v>
          </cell>
          <cell r="V65">
            <v>76</v>
          </cell>
          <cell r="W65">
            <v>93</v>
          </cell>
          <cell r="X65">
            <v>92</v>
          </cell>
          <cell r="Y65">
            <v>92</v>
          </cell>
          <cell r="Z65">
            <v>92</v>
          </cell>
          <cell r="AA65">
            <v>93</v>
          </cell>
          <cell r="AB65">
            <v>82</v>
          </cell>
        </row>
        <row r="66">
          <cell r="C66" t="str">
            <v>Dominican Republic</v>
          </cell>
          <cell r="D66">
            <v>1068</v>
          </cell>
          <cell r="E66">
            <v>1055</v>
          </cell>
          <cell r="F66">
            <v>1014</v>
          </cell>
          <cell r="G66">
            <v>986</v>
          </cell>
          <cell r="H66">
            <v>973</v>
          </cell>
          <cell r="I66">
            <v>994</v>
          </cell>
          <cell r="J66">
            <v>1013</v>
          </cell>
          <cell r="K66">
            <v>1014</v>
          </cell>
          <cell r="L66">
            <v>1033</v>
          </cell>
          <cell r="M66">
            <v>1037</v>
          </cell>
          <cell r="N66">
            <v>1036</v>
          </cell>
          <cell r="O66">
            <v>674</v>
          </cell>
          <cell r="P66">
            <v>478</v>
          </cell>
          <cell r="Q66">
            <v>222</v>
          </cell>
          <cell r="R66">
            <v>151</v>
          </cell>
          <cell r="S66">
            <v>129</v>
          </cell>
          <cell r="T66">
            <v>186</v>
          </cell>
          <cell r="U66">
            <v>134</v>
          </cell>
          <cell r="V66">
            <v>140</v>
          </cell>
          <cell r="W66">
            <v>162</v>
          </cell>
          <cell r="X66">
            <v>164</v>
          </cell>
          <cell r="Y66">
            <v>410</v>
          </cell>
          <cell r="Z66">
            <v>551</v>
          </cell>
          <cell r="AA66">
            <v>656</v>
          </cell>
          <cell r="AB66">
            <v>581</v>
          </cell>
        </row>
        <row r="67">
          <cell r="C67" t="str">
            <v>Ecuador</v>
          </cell>
          <cell r="D67">
            <v>1132</v>
          </cell>
          <cell r="E67">
            <v>1140</v>
          </cell>
          <cell r="F67">
            <v>1140</v>
          </cell>
          <cell r="G67">
            <v>1133</v>
          </cell>
          <cell r="H67">
            <v>1131</v>
          </cell>
          <cell r="I67">
            <v>1132</v>
          </cell>
          <cell r="J67">
            <v>1122</v>
          </cell>
          <cell r="K67">
            <v>1109</v>
          </cell>
          <cell r="L67">
            <v>1129</v>
          </cell>
          <cell r="M67">
            <v>1133</v>
          </cell>
          <cell r="N67">
            <v>1143</v>
          </cell>
          <cell r="O67">
            <v>633</v>
          </cell>
          <cell r="P67">
            <v>385</v>
          </cell>
          <cell r="Q67">
            <v>313</v>
          </cell>
          <cell r="R67">
            <v>309</v>
          </cell>
          <cell r="S67">
            <v>313</v>
          </cell>
          <cell r="T67">
            <v>346</v>
          </cell>
          <cell r="U67">
            <v>314</v>
          </cell>
          <cell r="V67">
            <v>314</v>
          </cell>
          <cell r="W67">
            <v>313</v>
          </cell>
          <cell r="X67">
            <v>313</v>
          </cell>
          <cell r="Y67">
            <v>789</v>
          </cell>
          <cell r="Z67">
            <v>828</v>
          </cell>
          <cell r="AA67">
            <v>853</v>
          </cell>
          <cell r="AB67">
            <v>741</v>
          </cell>
        </row>
        <row r="68">
          <cell r="C68" t="str">
            <v>Egypt</v>
          </cell>
          <cell r="D68">
            <v>2434</v>
          </cell>
          <cell r="E68">
            <v>2373</v>
          </cell>
          <cell r="F68">
            <v>2453</v>
          </cell>
          <cell r="G68">
            <v>2435</v>
          </cell>
          <cell r="H68">
            <v>2401</v>
          </cell>
          <cell r="I68">
            <v>2368</v>
          </cell>
          <cell r="J68">
            <v>2384</v>
          </cell>
          <cell r="K68">
            <v>2360</v>
          </cell>
          <cell r="L68">
            <v>2337</v>
          </cell>
          <cell r="M68">
            <v>2299</v>
          </cell>
          <cell r="N68">
            <v>2024</v>
          </cell>
          <cell r="O68">
            <v>837</v>
          </cell>
          <cell r="P68">
            <v>648</v>
          </cell>
          <cell r="Q68">
            <v>463</v>
          </cell>
          <cell r="R68">
            <v>556</v>
          </cell>
          <cell r="S68">
            <v>401</v>
          </cell>
          <cell r="T68">
            <v>493</v>
          </cell>
          <cell r="U68">
            <v>525</v>
          </cell>
          <cell r="V68">
            <v>847</v>
          </cell>
          <cell r="W68">
            <v>1344</v>
          </cell>
          <cell r="X68">
            <v>1450</v>
          </cell>
          <cell r="Y68">
            <v>2185</v>
          </cell>
          <cell r="Z68">
            <v>2239</v>
          </cell>
          <cell r="AA68">
            <v>2318</v>
          </cell>
          <cell r="AB68">
            <v>1996</v>
          </cell>
        </row>
        <row r="69">
          <cell r="C69" t="str">
            <v>El Salvador</v>
          </cell>
          <cell r="D69">
            <v>474</v>
          </cell>
          <cell r="E69">
            <v>464</v>
          </cell>
          <cell r="F69">
            <v>455</v>
          </cell>
          <cell r="G69">
            <v>447</v>
          </cell>
          <cell r="H69">
            <v>453</v>
          </cell>
          <cell r="I69">
            <v>448</v>
          </cell>
          <cell r="J69">
            <v>446</v>
          </cell>
          <cell r="K69">
            <v>444</v>
          </cell>
          <cell r="L69">
            <v>451</v>
          </cell>
          <cell r="M69">
            <v>450</v>
          </cell>
          <cell r="N69">
            <v>431</v>
          </cell>
          <cell r="O69">
            <v>100</v>
          </cell>
          <cell r="P69">
            <v>53</v>
          </cell>
          <cell r="Q69">
            <v>40</v>
          </cell>
          <cell r="R69">
            <v>32</v>
          </cell>
          <cell r="S69">
            <v>32</v>
          </cell>
          <cell r="T69">
            <v>39</v>
          </cell>
          <cell r="U69">
            <v>7</v>
          </cell>
          <cell r="V69">
            <v>13</v>
          </cell>
          <cell r="W69">
            <v>83</v>
          </cell>
          <cell r="X69">
            <v>83</v>
          </cell>
          <cell r="Y69">
            <v>149</v>
          </cell>
          <cell r="Z69">
            <v>159</v>
          </cell>
          <cell r="AA69">
            <v>168</v>
          </cell>
          <cell r="AB69">
            <v>144</v>
          </cell>
        </row>
        <row r="70">
          <cell r="C70" t="str">
            <v>Equatorial Guinea</v>
          </cell>
          <cell r="D70">
            <v>183</v>
          </cell>
          <cell r="E70">
            <v>181</v>
          </cell>
          <cell r="F70">
            <v>177</v>
          </cell>
          <cell r="G70">
            <v>177</v>
          </cell>
          <cell r="H70">
            <v>179</v>
          </cell>
          <cell r="I70">
            <v>180</v>
          </cell>
          <cell r="J70">
            <v>180</v>
          </cell>
          <cell r="K70">
            <v>184</v>
          </cell>
          <cell r="L70">
            <v>182</v>
          </cell>
          <cell r="M70">
            <v>182</v>
          </cell>
          <cell r="N70">
            <v>179</v>
          </cell>
          <cell r="O70">
            <v>149</v>
          </cell>
          <cell r="P70">
            <v>141</v>
          </cell>
          <cell r="Q70">
            <v>142</v>
          </cell>
          <cell r="R70">
            <v>94</v>
          </cell>
          <cell r="S70">
            <v>95</v>
          </cell>
          <cell r="T70">
            <v>5</v>
          </cell>
          <cell r="U70">
            <v>0</v>
          </cell>
          <cell r="V70">
            <v>40</v>
          </cell>
          <cell r="W70">
            <v>105</v>
          </cell>
          <cell r="X70">
            <v>107</v>
          </cell>
          <cell r="Y70">
            <v>127</v>
          </cell>
          <cell r="Z70">
            <v>128</v>
          </cell>
          <cell r="AA70">
            <v>138</v>
          </cell>
          <cell r="AB70">
            <v>114</v>
          </cell>
        </row>
        <row r="71">
          <cell r="C71" t="str">
            <v>Eritrea</v>
          </cell>
          <cell r="D71">
            <v>42</v>
          </cell>
          <cell r="E71">
            <v>45</v>
          </cell>
          <cell r="F71">
            <v>43</v>
          </cell>
          <cell r="G71">
            <v>43</v>
          </cell>
          <cell r="H71">
            <v>43</v>
          </cell>
          <cell r="I71">
            <v>44</v>
          </cell>
          <cell r="J71">
            <v>43</v>
          </cell>
          <cell r="K71">
            <v>44</v>
          </cell>
          <cell r="L71">
            <v>39</v>
          </cell>
          <cell r="M71">
            <v>33</v>
          </cell>
          <cell r="N71">
            <v>37</v>
          </cell>
          <cell r="O71">
            <v>32</v>
          </cell>
          <cell r="P71">
            <v>12</v>
          </cell>
          <cell r="Q71">
            <v>10</v>
          </cell>
          <cell r="R71">
            <v>18</v>
          </cell>
          <cell r="S71">
            <v>18</v>
          </cell>
          <cell r="T71">
            <v>25</v>
          </cell>
          <cell r="U71">
            <v>15</v>
          </cell>
          <cell r="V71">
            <v>22</v>
          </cell>
          <cell r="W71">
            <v>39</v>
          </cell>
          <cell r="X71">
            <v>45</v>
          </cell>
          <cell r="Y71">
            <v>51</v>
          </cell>
          <cell r="Z71">
            <v>49</v>
          </cell>
          <cell r="AA71">
            <v>49</v>
          </cell>
          <cell r="AB71">
            <v>43</v>
          </cell>
        </row>
        <row r="72">
          <cell r="C72" t="str">
            <v>Estonia</v>
          </cell>
          <cell r="D72">
            <v>327</v>
          </cell>
          <cell r="E72">
            <v>331</v>
          </cell>
          <cell r="F72">
            <v>335</v>
          </cell>
          <cell r="G72">
            <v>336</v>
          </cell>
          <cell r="H72">
            <v>338</v>
          </cell>
          <cell r="I72">
            <v>347</v>
          </cell>
          <cell r="J72">
            <v>354</v>
          </cell>
          <cell r="K72">
            <v>348</v>
          </cell>
          <cell r="L72">
            <v>357</v>
          </cell>
          <cell r="M72">
            <v>353</v>
          </cell>
          <cell r="N72">
            <v>340</v>
          </cell>
          <cell r="O72">
            <v>88</v>
          </cell>
          <cell r="P72">
            <v>65</v>
          </cell>
          <cell r="Q72">
            <v>70</v>
          </cell>
          <cell r="R72">
            <v>17</v>
          </cell>
          <cell r="S72">
            <v>13</v>
          </cell>
          <cell r="T72">
            <v>15</v>
          </cell>
          <cell r="U72">
            <v>20</v>
          </cell>
          <cell r="V72">
            <v>61</v>
          </cell>
          <cell r="W72">
            <v>79</v>
          </cell>
          <cell r="X72">
            <v>92</v>
          </cell>
          <cell r="Y72">
            <v>199</v>
          </cell>
          <cell r="Z72">
            <v>224</v>
          </cell>
          <cell r="AA72">
            <v>224</v>
          </cell>
          <cell r="AB72">
            <v>192</v>
          </cell>
        </row>
        <row r="73">
          <cell r="C73" t="str">
            <v>Eswatini</v>
          </cell>
          <cell r="D73">
            <v>13</v>
          </cell>
          <cell r="E73">
            <v>21</v>
          </cell>
          <cell r="F73">
            <v>6</v>
          </cell>
          <cell r="G73">
            <v>6</v>
          </cell>
          <cell r="H73">
            <v>16</v>
          </cell>
          <cell r="I73">
            <v>17</v>
          </cell>
          <cell r="J73">
            <v>17</v>
          </cell>
          <cell r="K73">
            <v>17</v>
          </cell>
          <cell r="L73">
            <v>20</v>
          </cell>
          <cell r="M73">
            <v>20</v>
          </cell>
          <cell r="N73">
            <v>23</v>
          </cell>
          <cell r="O73">
            <v>5</v>
          </cell>
          <cell r="R73">
            <v>0</v>
          </cell>
          <cell r="S73">
            <v>3</v>
          </cell>
          <cell r="T73">
            <v>1</v>
          </cell>
          <cell r="U73">
            <v>0</v>
          </cell>
          <cell r="Z73">
            <v>14</v>
          </cell>
          <cell r="AA73">
            <v>23</v>
          </cell>
          <cell r="AB73">
            <v>19</v>
          </cell>
        </row>
        <row r="74">
          <cell r="C74" t="str">
            <v>Ethiopia</v>
          </cell>
          <cell r="D74">
            <v>1920</v>
          </cell>
          <cell r="E74">
            <v>1962</v>
          </cell>
          <cell r="F74">
            <v>1933</v>
          </cell>
          <cell r="G74">
            <v>1908</v>
          </cell>
          <cell r="H74">
            <v>1878</v>
          </cell>
          <cell r="I74">
            <v>1858</v>
          </cell>
          <cell r="J74">
            <v>1890</v>
          </cell>
          <cell r="K74">
            <v>1897</v>
          </cell>
          <cell r="L74">
            <v>1900</v>
          </cell>
          <cell r="M74">
            <v>1842</v>
          </cell>
          <cell r="N74">
            <v>1829</v>
          </cell>
          <cell r="O74">
            <v>1296</v>
          </cell>
          <cell r="P74">
            <v>1202</v>
          </cell>
          <cell r="Q74">
            <v>421</v>
          </cell>
          <cell r="R74">
            <v>352</v>
          </cell>
          <cell r="S74">
            <v>320</v>
          </cell>
          <cell r="T74">
            <v>372</v>
          </cell>
          <cell r="U74">
            <v>186</v>
          </cell>
          <cell r="V74">
            <v>456</v>
          </cell>
          <cell r="W74">
            <v>886</v>
          </cell>
          <cell r="X74">
            <v>910</v>
          </cell>
          <cell r="Y74">
            <v>2079</v>
          </cell>
          <cell r="Z74">
            <v>2079</v>
          </cell>
          <cell r="AA74">
            <v>2081</v>
          </cell>
          <cell r="AB74">
            <v>1794</v>
          </cell>
        </row>
        <row r="75">
          <cell r="C75" t="str">
            <v>Falkland Islands</v>
          </cell>
          <cell r="D75">
            <v>3</v>
          </cell>
          <cell r="E75">
            <v>5</v>
          </cell>
          <cell r="F75">
            <v>3</v>
          </cell>
          <cell r="G75">
            <v>3</v>
          </cell>
          <cell r="H75">
            <v>3</v>
          </cell>
          <cell r="I75">
            <v>4</v>
          </cell>
          <cell r="J75">
            <v>4</v>
          </cell>
          <cell r="K75">
            <v>3</v>
          </cell>
          <cell r="L75">
            <v>3</v>
          </cell>
          <cell r="M75">
            <v>3</v>
          </cell>
          <cell r="N75">
            <v>6</v>
          </cell>
          <cell r="O75">
            <v>3</v>
          </cell>
          <cell r="P75">
            <v>1</v>
          </cell>
          <cell r="Q75">
            <v>1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W75">
            <v>2</v>
          </cell>
          <cell r="X75">
            <v>1</v>
          </cell>
          <cell r="Y75">
            <v>3</v>
          </cell>
          <cell r="Z75">
            <v>3</v>
          </cell>
          <cell r="AA75">
            <v>5</v>
          </cell>
          <cell r="AB75">
            <v>3</v>
          </cell>
        </row>
        <row r="76">
          <cell r="C76" t="str">
            <v>Faroe Islands</v>
          </cell>
          <cell r="D76">
            <v>31</v>
          </cell>
          <cell r="E76">
            <v>31</v>
          </cell>
          <cell r="F76">
            <v>31</v>
          </cell>
          <cell r="G76">
            <v>31</v>
          </cell>
          <cell r="H76">
            <v>32</v>
          </cell>
          <cell r="I76">
            <v>32</v>
          </cell>
          <cell r="J76">
            <v>32</v>
          </cell>
          <cell r="K76">
            <v>32</v>
          </cell>
          <cell r="L76">
            <v>32</v>
          </cell>
          <cell r="M76">
            <v>32</v>
          </cell>
          <cell r="N76">
            <v>32</v>
          </cell>
          <cell r="O76">
            <v>7</v>
          </cell>
          <cell r="P76">
            <v>23</v>
          </cell>
          <cell r="Q76">
            <v>19</v>
          </cell>
          <cell r="R76">
            <v>26</v>
          </cell>
          <cell r="S76">
            <v>27</v>
          </cell>
          <cell r="T76">
            <v>6</v>
          </cell>
          <cell r="U76">
            <v>14</v>
          </cell>
          <cell r="V76">
            <v>40</v>
          </cell>
          <cell r="W76">
            <v>43</v>
          </cell>
          <cell r="X76">
            <v>43</v>
          </cell>
          <cell r="Y76">
            <v>48</v>
          </cell>
          <cell r="Z76">
            <v>50</v>
          </cell>
          <cell r="AA76">
            <v>53</v>
          </cell>
          <cell r="AB76">
            <v>50</v>
          </cell>
        </row>
        <row r="77">
          <cell r="C77" t="str">
            <v>Fiji</v>
          </cell>
          <cell r="D77">
            <v>448</v>
          </cell>
          <cell r="E77">
            <v>432</v>
          </cell>
          <cell r="F77">
            <v>429</v>
          </cell>
          <cell r="G77">
            <v>390</v>
          </cell>
          <cell r="H77">
            <v>378</v>
          </cell>
          <cell r="I77">
            <v>371</v>
          </cell>
          <cell r="J77">
            <v>366</v>
          </cell>
          <cell r="K77">
            <v>350</v>
          </cell>
          <cell r="L77">
            <v>367</v>
          </cell>
          <cell r="M77">
            <v>371</v>
          </cell>
          <cell r="N77">
            <v>365</v>
          </cell>
          <cell r="O77">
            <v>278</v>
          </cell>
          <cell r="P77">
            <v>229</v>
          </cell>
          <cell r="Q77">
            <v>36</v>
          </cell>
          <cell r="R77">
            <v>18</v>
          </cell>
          <cell r="S77">
            <v>29</v>
          </cell>
          <cell r="T77">
            <v>40</v>
          </cell>
          <cell r="U77">
            <v>69</v>
          </cell>
          <cell r="V77">
            <v>72</v>
          </cell>
          <cell r="W77">
            <v>80</v>
          </cell>
          <cell r="X77">
            <v>80</v>
          </cell>
          <cell r="Y77">
            <v>315</v>
          </cell>
          <cell r="Z77">
            <v>315</v>
          </cell>
          <cell r="AA77">
            <v>355</v>
          </cell>
          <cell r="AB77">
            <v>310</v>
          </cell>
        </row>
        <row r="78">
          <cell r="C78" t="str">
            <v>Finland</v>
          </cell>
          <cell r="D78">
            <v>2372</v>
          </cell>
          <cell r="E78">
            <v>2413</v>
          </cell>
          <cell r="F78">
            <v>2452</v>
          </cell>
          <cell r="G78">
            <v>2504</v>
          </cell>
          <cell r="H78">
            <v>2494</v>
          </cell>
          <cell r="I78">
            <v>2526</v>
          </cell>
          <cell r="J78">
            <v>2468</v>
          </cell>
          <cell r="K78">
            <v>2475</v>
          </cell>
          <cell r="L78">
            <v>2545</v>
          </cell>
          <cell r="M78">
            <v>2509</v>
          </cell>
          <cell r="N78">
            <v>2427</v>
          </cell>
          <cell r="O78">
            <v>698</v>
          </cell>
          <cell r="P78">
            <v>342</v>
          </cell>
          <cell r="Q78">
            <v>216</v>
          </cell>
          <cell r="R78">
            <v>212</v>
          </cell>
          <cell r="S78">
            <v>239</v>
          </cell>
          <cell r="T78">
            <v>230</v>
          </cell>
          <cell r="U78">
            <v>257</v>
          </cell>
          <cell r="V78">
            <v>448</v>
          </cell>
          <cell r="W78">
            <v>459</v>
          </cell>
          <cell r="X78">
            <v>548</v>
          </cell>
          <cell r="Y78">
            <v>827</v>
          </cell>
          <cell r="Z78">
            <v>835</v>
          </cell>
          <cell r="AA78">
            <v>789</v>
          </cell>
          <cell r="AB78">
            <v>677</v>
          </cell>
        </row>
        <row r="79">
          <cell r="C79" t="str">
            <v>France</v>
          </cell>
          <cell r="D79">
            <v>12298</v>
          </cell>
          <cell r="E79">
            <v>11861</v>
          </cell>
          <cell r="F79">
            <v>11858</v>
          </cell>
          <cell r="G79">
            <v>12029</v>
          </cell>
          <cell r="H79">
            <v>12260</v>
          </cell>
          <cell r="I79">
            <v>12623</v>
          </cell>
          <cell r="J79">
            <v>12709</v>
          </cell>
          <cell r="K79">
            <v>12481</v>
          </cell>
          <cell r="L79">
            <v>12555</v>
          </cell>
          <cell r="M79">
            <v>12577</v>
          </cell>
          <cell r="N79">
            <v>11113</v>
          </cell>
          <cell r="O79">
            <v>7700</v>
          </cell>
          <cell r="P79">
            <v>2747</v>
          </cell>
          <cell r="Q79">
            <v>1971</v>
          </cell>
          <cell r="R79">
            <v>1206</v>
          </cell>
          <cell r="S79">
            <v>1266</v>
          </cell>
          <cell r="T79">
            <v>1245</v>
          </cell>
          <cell r="U79">
            <v>1204</v>
          </cell>
          <cell r="V79">
            <v>1625</v>
          </cell>
          <cell r="W79">
            <v>4034</v>
          </cell>
          <cell r="X79">
            <v>4515</v>
          </cell>
          <cell r="Y79">
            <v>13045</v>
          </cell>
          <cell r="Z79">
            <v>13540</v>
          </cell>
          <cell r="AA79">
            <v>14301</v>
          </cell>
          <cell r="AB79">
            <v>12356</v>
          </cell>
        </row>
        <row r="80">
          <cell r="C80" t="str">
            <v>French Guiana</v>
          </cell>
          <cell r="D80">
            <v>42</v>
          </cell>
          <cell r="E80">
            <v>38</v>
          </cell>
          <cell r="F80">
            <v>33</v>
          </cell>
          <cell r="G80">
            <v>33</v>
          </cell>
          <cell r="H80">
            <v>40</v>
          </cell>
          <cell r="I80">
            <v>41</v>
          </cell>
          <cell r="J80">
            <v>41</v>
          </cell>
          <cell r="K80">
            <v>43</v>
          </cell>
          <cell r="L80">
            <v>41</v>
          </cell>
          <cell r="M80">
            <v>40</v>
          </cell>
          <cell r="N80">
            <v>38</v>
          </cell>
          <cell r="O80">
            <v>27</v>
          </cell>
          <cell r="P80">
            <v>4</v>
          </cell>
          <cell r="Q80">
            <v>4</v>
          </cell>
          <cell r="R80">
            <v>4</v>
          </cell>
          <cell r="S80">
            <v>4</v>
          </cell>
          <cell r="T80">
            <v>4</v>
          </cell>
          <cell r="U80">
            <v>9</v>
          </cell>
          <cell r="V80">
            <v>9</v>
          </cell>
          <cell r="W80">
            <v>9</v>
          </cell>
          <cell r="X80">
            <v>9</v>
          </cell>
          <cell r="Y80">
            <v>22</v>
          </cell>
          <cell r="Z80">
            <v>34</v>
          </cell>
          <cell r="AA80">
            <v>39</v>
          </cell>
          <cell r="AB80">
            <v>38</v>
          </cell>
        </row>
        <row r="81">
          <cell r="C81" t="str">
            <v>French Polynesia</v>
          </cell>
          <cell r="D81">
            <v>1132</v>
          </cell>
          <cell r="E81">
            <v>1039</v>
          </cell>
          <cell r="F81">
            <v>886</v>
          </cell>
          <cell r="G81">
            <v>888</v>
          </cell>
          <cell r="H81">
            <v>866</v>
          </cell>
          <cell r="I81">
            <v>850</v>
          </cell>
          <cell r="J81">
            <v>914</v>
          </cell>
          <cell r="K81">
            <v>899</v>
          </cell>
          <cell r="L81">
            <v>821</v>
          </cell>
          <cell r="M81">
            <v>835</v>
          </cell>
          <cell r="N81">
            <v>867</v>
          </cell>
          <cell r="O81">
            <v>912</v>
          </cell>
          <cell r="P81">
            <v>31</v>
          </cell>
          <cell r="Q81">
            <v>28</v>
          </cell>
          <cell r="R81">
            <v>37</v>
          </cell>
          <cell r="S81">
            <v>24</v>
          </cell>
          <cell r="T81">
            <v>29</v>
          </cell>
          <cell r="U81">
            <v>9</v>
          </cell>
          <cell r="V81">
            <v>200</v>
          </cell>
          <cell r="W81">
            <v>346</v>
          </cell>
          <cell r="X81">
            <v>401</v>
          </cell>
          <cell r="Y81">
            <v>467</v>
          </cell>
          <cell r="Z81">
            <v>418</v>
          </cell>
          <cell r="AA81">
            <v>413</v>
          </cell>
          <cell r="AB81">
            <v>453</v>
          </cell>
        </row>
        <row r="82">
          <cell r="C82" t="str">
            <v>Gabon</v>
          </cell>
          <cell r="D82">
            <v>177</v>
          </cell>
          <cell r="E82">
            <v>176</v>
          </cell>
          <cell r="F82">
            <v>176</v>
          </cell>
          <cell r="G82">
            <v>176</v>
          </cell>
          <cell r="H82">
            <v>176</v>
          </cell>
          <cell r="I82">
            <v>192</v>
          </cell>
          <cell r="J82">
            <v>195</v>
          </cell>
          <cell r="K82">
            <v>195</v>
          </cell>
          <cell r="L82">
            <v>188</v>
          </cell>
          <cell r="M82">
            <v>187</v>
          </cell>
          <cell r="N82">
            <v>183</v>
          </cell>
          <cell r="O82">
            <v>94</v>
          </cell>
          <cell r="P82">
            <v>121</v>
          </cell>
          <cell r="Q82">
            <v>20</v>
          </cell>
          <cell r="R82">
            <v>19</v>
          </cell>
          <cell r="S82">
            <v>25</v>
          </cell>
          <cell r="T82">
            <v>22</v>
          </cell>
          <cell r="U82">
            <v>6</v>
          </cell>
          <cell r="V82">
            <v>27</v>
          </cell>
          <cell r="W82">
            <v>47</v>
          </cell>
          <cell r="X82">
            <v>52</v>
          </cell>
          <cell r="Y82">
            <v>76</v>
          </cell>
          <cell r="Z82">
            <v>76</v>
          </cell>
          <cell r="AA82">
            <v>83</v>
          </cell>
          <cell r="AB82">
            <v>64</v>
          </cell>
        </row>
        <row r="83">
          <cell r="C83" t="str">
            <v>Gambia</v>
          </cell>
          <cell r="D83">
            <v>91</v>
          </cell>
          <cell r="E83">
            <v>89</v>
          </cell>
          <cell r="F83">
            <v>88</v>
          </cell>
          <cell r="G83">
            <v>88</v>
          </cell>
          <cell r="H83">
            <v>88</v>
          </cell>
          <cell r="I83">
            <v>84</v>
          </cell>
          <cell r="J83">
            <v>88</v>
          </cell>
          <cell r="K83">
            <v>88</v>
          </cell>
          <cell r="L83">
            <v>88</v>
          </cell>
          <cell r="M83">
            <v>87</v>
          </cell>
          <cell r="N83">
            <v>83</v>
          </cell>
          <cell r="O83">
            <v>43</v>
          </cell>
          <cell r="P83">
            <v>26</v>
          </cell>
          <cell r="Q83">
            <v>23</v>
          </cell>
          <cell r="R83">
            <v>18</v>
          </cell>
          <cell r="S83">
            <v>13</v>
          </cell>
          <cell r="T83">
            <v>16</v>
          </cell>
          <cell r="U83">
            <v>13</v>
          </cell>
          <cell r="V83">
            <v>19</v>
          </cell>
          <cell r="W83">
            <v>34</v>
          </cell>
          <cell r="X83">
            <v>36</v>
          </cell>
          <cell r="Y83">
            <v>59</v>
          </cell>
          <cell r="Z83">
            <v>59</v>
          </cell>
          <cell r="AA83">
            <v>59</v>
          </cell>
          <cell r="AB83">
            <v>57</v>
          </cell>
        </row>
        <row r="84">
          <cell r="C84" t="str">
            <v>Georgia</v>
          </cell>
          <cell r="D84">
            <v>321</v>
          </cell>
          <cell r="E84">
            <v>309</v>
          </cell>
          <cell r="F84">
            <v>299</v>
          </cell>
          <cell r="G84">
            <v>299</v>
          </cell>
          <cell r="H84">
            <v>296</v>
          </cell>
          <cell r="I84">
            <v>291</v>
          </cell>
          <cell r="J84">
            <v>293</v>
          </cell>
          <cell r="K84">
            <v>285</v>
          </cell>
          <cell r="L84">
            <v>291</v>
          </cell>
          <cell r="M84">
            <v>292</v>
          </cell>
          <cell r="N84">
            <v>238</v>
          </cell>
          <cell r="O84">
            <v>135</v>
          </cell>
          <cell r="P84">
            <v>142</v>
          </cell>
          <cell r="Q84">
            <v>141</v>
          </cell>
          <cell r="R84">
            <v>139</v>
          </cell>
          <cell r="S84">
            <v>62</v>
          </cell>
          <cell r="T84">
            <v>89</v>
          </cell>
          <cell r="U84">
            <v>139</v>
          </cell>
          <cell r="V84">
            <v>146</v>
          </cell>
          <cell r="W84">
            <v>182</v>
          </cell>
          <cell r="X84">
            <v>274</v>
          </cell>
          <cell r="Y84">
            <v>401</v>
          </cell>
          <cell r="Z84">
            <v>406</v>
          </cell>
          <cell r="AA84">
            <v>407</v>
          </cell>
          <cell r="AB84">
            <v>349</v>
          </cell>
        </row>
        <row r="85">
          <cell r="C85" t="str">
            <v>Germany</v>
          </cell>
          <cell r="D85">
            <v>15303</v>
          </cell>
          <cell r="E85">
            <v>15249</v>
          </cell>
          <cell r="F85">
            <v>15357</v>
          </cell>
          <cell r="G85">
            <v>15528</v>
          </cell>
          <cell r="H85">
            <v>15811</v>
          </cell>
          <cell r="I85">
            <v>16178</v>
          </cell>
          <cell r="J85">
            <v>16411</v>
          </cell>
          <cell r="K85">
            <v>16657</v>
          </cell>
          <cell r="L85">
            <v>16741</v>
          </cell>
          <cell r="M85">
            <v>14907</v>
          </cell>
          <cell r="N85">
            <v>12270</v>
          </cell>
          <cell r="O85">
            <v>5004</v>
          </cell>
          <cell r="P85">
            <v>2171</v>
          </cell>
          <cell r="Q85">
            <v>1424</v>
          </cell>
          <cell r="R85">
            <v>1384</v>
          </cell>
          <cell r="S85">
            <v>1187</v>
          </cell>
          <cell r="T85">
            <v>1381</v>
          </cell>
          <cell r="U85">
            <v>1886</v>
          </cell>
          <cell r="V85">
            <v>2286</v>
          </cell>
          <cell r="W85">
            <v>3989</v>
          </cell>
          <cell r="X85">
            <v>4749</v>
          </cell>
          <cell r="Y85">
            <v>17381</v>
          </cell>
          <cell r="Z85">
            <v>17208</v>
          </cell>
          <cell r="AA85">
            <v>18001</v>
          </cell>
          <cell r="AB85">
            <v>15622</v>
          </cell>
        </row>
        <row r="86">
          <cell r="C86" t="str">
            <v>Ghana</v>
          </cell>
          <cell r="D86">
            <v>640</v>
          </cell>
          <cell r="E86">
            <v>616</v>
          </cell>
          <cell r="F86">
            <v>612</v>
          </cell>
          <cell r="G86">
            <v>612</v>
          </cell>
          <cell r="H86">
            <v>607</v>
          </cell>
          <cell r="I86">
            <v>609</v>
          </cell>
          <cell r="J86">
            <v>618</v>
          </cell>
          <cell r="K86">
            <v>603</v>
          </cell>
          <cell r="L86">
            <v>595</v>
          </cell>
          <cell r="M86">
            <v>594</v>
          </cell>
          <cell r="N86">
            <v>597</v>
          </cell>
          <cell r="O86">
            <v>419</v>
          </cell>
          <cell r="P86">
            <v>296</v>
          </cell>
          <cell r="Q86">
            <v>276</v>
          </cell>
          <cell r="R86">
            <v>280</v>
          </cell>
          <cell r="S86">
            <v>292</v>
          </cell>
          <cell r="T86">
            <v>284</v>
          </cell>
          <cell r="U86">
            <v>280</v>
          </cell>
          <cell r="V86">
            <v>449</v>
          </cell>
          <cell r="W86">
            <v>477</v>
          </cell>
          <cell r="X86">
            <v>487</v>
          </cell>
          <cell r="Y86">
            <v>529</v>
          </cell>
          <cell r="Z86">
            <v>538</v>
          </cell>
          <cell r="AA86">
            <v>548</v>
          </cell>
          <cell r="AB86">
            <v>493</v>
          </cell>
        </row>
        <row r="87">
          <cell r="C87" t="str">
            <v>Gibraltar</v>
          </cell>
          <cell r="D87">
            <v>21</v>
          </cell>
          <cell r="E87">
            <v>22</v>
          </cell>
          <cell r="F87">
            <v>23</v>
          </cell>
          <cell r="G87">
            <v>22</v>
          </cell>
          <cell r="H87">
            <v>24</v>
          </cell>
          <cell r="I87">
            <v>28</v>
          </cell>
          <cell r="J87">
            <v>29</v>
          </cell>
          <cell r="K87">
            <v>29</v>
          </cell>
          <cell r="L87">
            <v>29</v>
          </cell>
          <cell r="M87">
            <v>28</v>
          </cell>
          <cell r="N87">
            <v>26</v>
          </cell>
          <cell r="O87">
            <v>21</v>
          </cell>
          <cell r="P87">
            <v>19</v>
          </cell>
          <cell r="Q87">
            <v>4</v>
          </cell>
          <cell r="R87">
            <v>4</v>
          </cell>
          <cell r="S87">
            <v>4</v>
          </cell>
          <cell r="T87">
            <v>4</v>
          </cell>
          <cell r="U87">
            <v>4</v>
          </cell>
          <cell r="V87">
            <v>4</v>
          </cell>
          <cell r="W87">
            <v>25</v>
          </cell>
          <cell r="X87">
            <v>25</v>
          </cell>
          <cell r="Y87">
            <v>36</v>
          </cell>
          <cell r="Z87">
            <v>36</v>
          </cell>
          <cell r="AA87">
            <v>37</v>
          </cell>
          <cell r="AB87">
            <v>28</v>
          </cell>
        </row>
        <row r="88">
          <cell r="C88" t="str">
            <v>Greece</v>
          </cell>
          <cell r="D88">
            <v>2607</v>
          </cell>
          <cell r="E88">
            <v>2431</v>
          </cell>
          <cell r="F88">
            <v>2413</v>
          </cell>
          <cell r="G88">
            <v>2418</v>
          </cell>
          <cell r="H88">
            <v>2421</v>
          </cell>
          <cell r="I88">
            <v>2450</v>
          </cell>
          <cell r="J88">
            <v>2496</v>
          </cell>
          <cell r="K88">
            <v>2506</v>
          </cell>
          <cell r="L88">
            <v>2585</v>
          </cell>
          <cell r="M88">
            <v>2550</v>
          </cell>
          <cell r="N88">
            <v>2254</v>
          </cell>
          <cell r="O88">
            <v>1057</v>
          </cell>
          <cell r="P88">
            <v>906</v>
          </cell>
          <cell r="Q88">
            <v>836</v>
          </cell>
          <cell r="R88">
            <v>700</v>
          </cell>
          <cell r="S88">
            <v>659</v>
          </cell>
          <cell r="T88">
            <v>767</v>
          </cell>
          <cell r="U88">
            <v>959</v>
          </cell>
          <cell r="V88">
            <v>1106</v>
          </cell>
          <cell r="W88">
            <v>1800</v>
          </cell>
          <cell r="X88">
            <v>2151</v>
          </cell>
          <cell r="Y88">
            <v>5808</v>
          </cell>
          <cell r="Z88">
            <v>6031</v>
          </cell>
          <cell r="AA88">
            <v>6376</v>
          </cell>
          <cell r="AB88">
            <v>5729</v>
          </cell>
        </row>
        <row r="89">
          <cell r="C89" t="str">
            <v>Greenland</v>
          </cell>
          <cell r="D89">
            <v>462</v>
          </cell>
          <cell r="E89">
            <v>431</v>
          </cell>
          <cell r="F89">
            <v>443</v>
          </cell>
          <cell r="G89">
            <v>437</v>
          </cell>
          <cell r="H89">
            <v>429</v>
          </cell>
          <cell r="I89">
            <v>438</v>
          </cell>
          <cell r="J89">
            <v>443</v>
          </cell>
          <cell r="K89">
            <v>432</v>
          </cell>
          <cell r="L89">
            <v>457</v>
          </cell>
          <cell r="M89">
            <v>491</v>
          </cell>
          <cell r="N89">
            <v>488</v>
          </cell>
          <cell r="O89">
            <v>11</v>
          </cell>
          <cell r="P89">
            <v>181</v>
          </cell>
          <cell r="Q89">
            <v>194</v>
          </cell>
          <cell r="R89">
            <v>542</v>
          </cell>
          <cell r="S89">
            <v>195</v>
          </cell>
          <cell r="T89">
            <v>270</v>
          </cell>
          <cell r="U89">
            <v>304</v>
          </cell>
          <cell r="V89">
            <v>322</v>
          </cell>
          <cell r="W89">
            <v>281</v>
          </cell>
          <cell r="X89">
            <v>306</v>
          </cell>
          <cell r="Y89">
            <v>552</v>
          </cell>
          <cell r="Z89">
            <v>607</v>
          </cell>
          <cell r="AA89">
            <v>602</v>
          </cell>
          <cell r="AB89">
            <v>565</v>
          </cell>
        </row>
        <row r="90">
          <cell r="C90" t="str">
            <v>Grenada, Windward Islands</v>
          </cell>
          <cell r="D90">
            <v>77</v>
          </cell>
          <cell r="E90">
            <v>76</v>
          </cell>
          <cell r="F90">
            <v>76</v>
          </cell>
          <cell r="G90">
            <v>76</v>
          </cell>
          <cell r="H90">
            <v>76</v>
          </cell>
          <cell r="I90">
            <v>76</v>
          </cell>
          <cell r="J90">
            <v>77</v>
          </cell>
          <cell r="K90">
            <v>77</v>
          </cell>
          <cell r="L90">
            <v>75</v>
          </cell>
          <cell r="M90">
            <v>75</v>
          </cell>
          <cell r="N90">
            <v>75</v>
          </cell>
          <cell r="O90">
            <v>67</v>
          </cell>
          <cell r="P90">
            <v>55</v>
          </cell>
          <cell r="Q90">
            <v>27</v>
          </cell>
          <cell r="R90">
            <v>0</v>
          </cell>
          <cell r="S90">
            <v>0</v>
          </cell>
          <cell r="T90">
            <v>4</v>
          </cell>
          <cell r="U90">
            <v>6</v>
          </cell>
          <cell r="V90">
            <v>27</v>
          </cell>
          <cell r="W90">
            <v>49</v>
          </cell>
          <cell r="X90">
            <v>53</v>
          </cell>
          <cell r="Y90">
            <v>63</v>
          </cell>
          <cell r="Z90">
            <v>69</v>
          </cell>
          <cell r="AA90">
            <v>71</v>
          </cell>
          <cell r="AB90">
            <v>63</v>
          </cell>
        </row>
        <row r="91">
          <cell r="C91" t="str">
            <v>Guadeloupe</v>
          </cell>
          <cell r="D91">
            <v>297</v>
          </cell>
          <cell r="E91">
            <v>288</v>
          </cell>
          <cell r="F91">
            <v>280</v>
          </cell>
          <cell r="G91">
            <v>279</v>
          </cell>
          <cell r="H91">
            <v>292</v>
          </cell>
          <cell r="I91">
            <v>300</v>
          </cell>
          <cell r="J91">
            <v>305</v>
          </cell>
          <cell r="K91">
            <v>308</v>
          </cell>
          <cell r="L91">
            <v>289</v>
          </cell>
          <cell r="M91">
            <v>292</v>
          </cell>
          <cell r="N91">
            <v>276</v>
          </cell>
          <cell r="O91">
            <v>243</v>
          </cell>
          <cell r="P91">
            <v>185</v>
          </cell>
          <cell r="Q91">
            <v>185</v>
          </cell>
          <cell r="R91">
            <v>185</v>
          </cell>
          <cell r="S91">
            <v>176</v>
          </cell>
          <cell r="T91">
            <v>170</v>
          </cell>
          <cell r="U91">
            <v>219</v>
          </cell>
          <cell r="V91">
            <v>280</v>
          </cell>
          <cell r="W91">
            <v>286</v>
          </cell>
          <cell r="X91">
            <v>279</v>
          </cell>
          <cell r="Y91">
            <v>236</v>
          </cell>
          <cell r="Z91">
            <v>251</v>
          </cell>
          <cell r="AA91">
            <v>270</v>
          </cell>
          <cell r="AB91">
            <v>242</v>
          </cell>
        </row>
        <row r="92">
          <cell r="C92" t="str">
            <v>Guam</v>
          </cell>
          <cell r="D92">
            <v>273</v>
          </cell>
          <cell r="E92">
            <v>282</v>
          </cell>
          <cell r="F92">
            <v>286</v>
          </cell>
          <cell r="G92">
            <v>286</v>
          </cell>
          <cell r="H92">
            <v>285</v>
          </cell>
          <cell r="I92">
            <v>279</v>
          </cell>
          <cell r="J92">
            <v>263</v>
          </cell>
          <cell r="K92">
            <v>263</v>
          </cell>
          <cell r="L92">
            <v>241</v>
          </cell>
          <cell r="M92">
            <v>218</v>
          </cell>
          <cell r="N92">
            <v>233</v>
          </cell>
          <cell r="O92">
            <v>150</v>
          </cell>
          <cell r="P92">
            <v>89</v>
          </cell>
          <cell r="Q92">
            <v>51</v>
          </cell>
          <cell r="R92">
            <v>57</v>
          </cell>
          <cell r="S92">
            <v>50</v>
          </cell>
          <cell r="T92">
            <v>54</v>
          </cell>
          <cell r="U92">
            <v>63</v>
          </cell>
          <cell r="V92">
            <v>70</v>
          </cell>
          <cell r="W92">
            <v>78</v>
          </cell>
          <cell r="X92">
            <v>71</v>
          </cell>
          <cell r="Y92">
            <v>127</v>
          </cell>
          <cell r="Z92">
            <v>133</v>
          </cell>
          <cell r="AA92">
            <v>137</v>
          </cell>
          <cell r="AB92">
            <v>116</v>
          </cell>
        </row>
        <row r="93">
          <cell r="C93" t="str">
            <v>Guatemala</v>
          </cell>
          <cell r="D93">
            <v>439</v>
          </cell>
          <cell r="E93">
            <v>438</v>
          </cell>
          <cell r="F93">
            <v>438</v>
          </cell>
          <cell r="G93">
            <v>434</v>
          </cell>
          <cell r="H93">
            <v>436</v>
          </cell>
          <cell r="I93">
            <v>437</v>
          </cell>
          <cell r="J93">
            <v>441</v>
          </cell>
          <cell r="K93">
            <v>439</v>
          </cell>
          <cell r="L93">
            <v>452</v>
          </cell>
          <cell r="M93">
            <v>453</v>
          </cell>
          <cell r="N93">
            <v>433</v>
          </cell>
          <cell r="O93">
            <v>259</v>
          </cell>
          <cell r="P93">
            <v>222</v>
          </cell>
          <cell r="Q93">
            <v>162</v>
          </cell>
          <cell r="R93">
            <v>37</v>
          </cell>
          <cell r="S93">
            <v>34</v>
          </cell>
          <cell r="T93">
            <v>98</v>
          </cell>
          <cell r="U93">
            <v>120</v>
          </cell>
          <cell r="V93">
            <v>129</v>
          </cell>
          <cell r="W93">
            <v>139</v>
          </cell>
          <cell r="X93">
            <v>139</v>
          </cell>
          <cell r="Y93">
            <v>231</v>
          </cell>
          <cell r="Z93">
            <v>248</v>
          </cell>
          <cell r="AA93">
            <v>260</v>
          </cell>
          <cell r="AB93">
            <v>228</v>
          </cell>
        </row>
        <row r="94">
          <cell r="C94" t="str">
            <v>Guinea</v>
          </cell>
          <cell r="D94">
            <v>87</v>
          </cell>
          <cell r="E94">
            <v>85</v>
          </cell>
          <cell r="F94">
            <v>84</v>
          </cell>
          <cell r="G94">
            <v>82</v>
          </cell>
          <cell r="H94">
            <v>81</v>
          </cell>
          <cell r="I94">
            <v>81</v>
          </cell>
          <cell r="J94">
            <v>81</v>
          </cell>
          <cell r="K94">
            <v>79</v>
          </cell>
          <cell r="L94">
            <v>78</v>
          </cell>
          <cell r="M94">
            <v>75</v>
          </cell>
          <cell r="N94">
            <v>73</v>
          </cell>
          <cell r="O94">
            <v>35</v>
          </cell>
          <cell r="P94">
            <v>19</v>
          </cell>
          <cell r="Q94">
            <v>18</v>
          </cell>
          <cell r="R94">
            <v>16</v>
          </cell>
          <cell r="S94">
            <v>8</v>
          </cell>
          <cell r="T94">
            <v>18</v>
          </cell>
          <cell r="U94">
            <v>15</v>
          </cell>
          <cell r="V94">
            <v>15</v>
          </cell>
          <cell r="W94">
            <v>33</v>
          </cell>
          <cell r="X94">
            <v>34</v>
          </cell>
          <cell r="Y94">
            <v>57</v>
          </cell>
          <cell r="Z94">
            <v>57</v>
          </cell>
          <cell r="AA94">
            <v>68</v>
          </cell>
          <cell r="AB94">
            <v>58</v>
          </cell>
        </row>
        <row r="95">
          <cell r="C95" t="str">
            <v>Guinea-Bissau</v>
          </cell>
          <cell r="D95">
            <v>41</v>
          </cell>
          <cell r="E95">
            <v>40</v>
          </cell>
          <cell r="F95">
            <v>34</v>
          </cell>
          <cell r="G95">
            <v>33</v>
          </cell>
          <cell r="H95">
            <v>32</v>
          </cell>
          <cell r="I95">
            <v>33</v>
          </cell>
          <cell r="J95">
            <v>34</v>
          </cell>
          <cell r="K95">
            <v>34</v>
          </cell>
          <cell r="L95">
            <v>34</v>
          </cell>
          <cell r="M95">
            <v>34</v>
          </cell>
          <cell r="N95">
            <v>30</v>
          </cell>
          <cell r="O95">
            <v>14</v>
          </cell>
          <cell r="P95">
            <v>14</v>
          </cell>
          <cell r="Q95">
            <v>14</v>
          </cell>
          <cell r="R95">
            <v>7</v>
          </cell>
          <cell r="S95">
            <v>7</v>
          </cell>
          <cell r="T95">
            <v>11</v>
          </cell>
          <cell r="U95">
            <v>7</v>
          </cell>
          <cell r="V95">
            <v>9</v>
          </cell>
          <cell r="W95">
            <v>18</v>
          </cell>
          <cell r="X95">
            <v>18</v>
          </cell>
          <cell r="Y95">
            <v>25</v>
          </cell>
          <cell r="Z95">
            <v>26</v>
          </cell>
          <cell r="AA95">
            <v>26</v>
          </cell>
          <cell r="AB95">
            <v>24</v>
          </cell>
        </row>
        <row r="96">
          <cell r="C96" t="str">
            <v>Guyana</v>
          </cell>
          <cell r="D96">
            <v>141</v>
          </cell>
          <cell r="E96">
            <v>139</v>
          </cell>
          <cell r="F96">
            <v>141</v>
          </cell>
          <cell r="G96">
            <v>140</v>
          </cell>
          <cell r="H96">
            <v>139</v>
          </cell>
          <cell r="I96">
            <v>139</v>
          </cell>
          <cell r="J96">
            <v>138</v>
          </cell>
          <cell r="K96">
            <v>209</v>
          </cell>
          <cell r="L96">
            <v>212</v>
          </cell>
          <cell r="M96">
            <v>212</v>
          </cell>
          <cell r="N96">
            <v>214</v>
          </cell>
          <cell r="O96">
            <v>163</v>
          </cell>
          <cell r="P96">
            <v>148</v>
          </cell>
          <cell r="Q96">
            <v>97</v>
          </cell>
          <cell r="R96">
            <v>87</v>
          </cell>
          <cell r="S96">
            <v>87</v>
          </cell>
          <cell r="T96">
            <v>99</v>
          </cell>
          <cell r="U96">
            <v>32</v>
          </cell>
          <cell r="V96">
            <v>69</v>
          </cell>
          <cell r="W96">
            <v>94</v>
          </cell>
          <cell r="X96">
            <v>94</v>
          </cell>
          <cell r="Y96">
            <v>97</v>
          </cell>
          <cell r="Z96">
            <v>102</v>
          </cell>
          <cell r="AA96">
            <v>103</v>
          </cell>
          <cell r="AB96">
            <v>88</v>
          </cell>
        </row>
        <row r="97">
          <cell r="C97" t="str">
            <v>Haiti</v>
          </cell>
          <cell r="D97">
            <v>191</v>
          </cell>
          <cell r="E97">
            <v>177</v>
          </cell>
          <cell r="F97">
            <v>179</v>
          </cell>
          <cell r="G97">
            <v>177</v>
          </cell>
          <cell r="H97">
            <v>188</v>
          </cell>
          <cell r="I97">
            <v>198</v>
          </cell>
          <cell r="J97">
            <v>214</v>
          </cell>
          <cell r="K97">
            <v>212</v>
          </cell>
          <cell r="L97">
            <v>212</v>
          </cell>
          <cell r="M97">
            <v>204</v>
          </cell>
          <cell r="N97">
            <v>206</v>
          </cell>
          <cell r="O97">
            <v>123</v>
          </cell>
          <cell r="P97">
            <v>84</v>
          </cell>
          <cell r="Q97">
            <v>45</v>
          </cell>
          <cell r="R97">
            <v>34</v>
          </cell>
          <cell r="S97">
            <v>35</v>
          </cell>
          <cell r="T97">
            <v>80</v>
          </cell>
          <cell r="U97">
            <v>39</v>
          </cell>
          <cell r="V97">
            <v>38</v>
          </cell>
          <cell r="W97">
            <v>112</v>
          </cell>
          <cell r="X97">
            <v>109</v>
          </cell>
          <cell r="Y97">
            <v>126</v>
          </cell>
          <cell r="Z97">
            <v>150</v>
          </cell>
          <cell r="AA97">
            <v>164</v>
          </cell>
          <cell r="AB97">
            <v>148</v>
          </cell>
        </row>
        <row r="98">
          <cell r="C98" t="str">
            <v>Honduras</v>
          </cell>
          <cell r="D98">
            <v>659</v>
          </cell>
          <cell r="E98">
            <v>657</v>
          </cell>
          <cell r="F98">
            <v>650</v>
          </cell>
          <cell r="G98">
            <v>642</v>
          </cell>
          <cell r="H98">
            <v>661</v>
          </cell>
          <cell r="I98">
            <v>656</v>
          </cell>
          <cell r="J98">
            <v>651</v>
          </cell>
          <cell r="K98">
            <v>648</v>
          </cell>
          <cell r="L98">
            <v>658</v>
          </cell>
          <cell r="M98">
            <v>661</v>
          </cell>
          <cell r="N98">
            <v>644</v>
          </cell>
          <cell r="O98">
            <v>526</v>
          </cell>
          <cell r="P98">
            <v>482</v>
          </cell>
          <cell r="Q98">
            <v>457</v>
          </cell>
          <cell r="R98">
            <v>318</v>
          </cell>
          <cell r="S98">
            <v>313</v>
          </cell>
          <cell r="T98">
            <v>332</v>
          </cell>
          <cell r="U98">
            <v>166</v>
          </cell>
          <cell r="V98">
            <v>170</v>
          </cell>
          <cell r="W98">
            <v>184</v>
          </cell>
          <cell r="X98">
            <v>184</v>
          </cell>
          <cell r="Y98">
            <v>379</v>
          </cell>
          <cell r="Z98">
            <v>392</v>
          </cell>
          <cell r="AA98">
            <v>392</v>
          </cell>
          <cell r="AB98">
            <v>346</v>
          </cell>
        </row>
        <row r="99">
          <cell r="C99" t="str">
            <v>Hong Kong (sar) China</v>
          </cell>
          <cell r="D99">
            <v>3306</v>
          </cell>
          <cell r="E99">
            <v>3331</v>
          </cell>
          <cell r="F99">
            <v>3467</v>
          </cell>
          <cell r="G99">
            <v>3480</v>
          </cell>
          <cell r="H99">
            <v>3025</v>
          </cell>
          <cell r="I99">
            <v>2113</v>
          </cell>
          <cell r="J99">
            <v>1590</v>
          </cell>
          <cell r="K99">
            <v>1376</v>
          </cell>
          <cell r="L99">
            <v>1096</v>
          </cell>
          <cell r="M99">
            <v>836</v>
          </cell>
          <cell r="N99">
            <v>719</v>
          </cell>
          <cell r="O99">
            <v>687</v>
          </cell>
          <cell r="P99">
            <v>440</v>
          </cell>
          <cell r="Q99">
            <v>289</v>
          </cell>
          <cell r="R99">
            <v>220</v>
          </cell>
          <cell r="S99">
            <v>209</v>
          </cell>
          <cell r="T99">
            <v>259</v>
          </cell>
          <cell r="U99">
            <v>240</v>
          </cell>
          <cell r="V99">
            <v>279</v>
          </cell>
          <cell r="W99">
            <v>339</v>
          </cell>
          <cell r="X99">
            <v>355</v>
          </cell>
          <cell r="Y99">
            <v>1530</v>
          </cell>
          <cell r="Z99">
            <v>1588</v>
          </cell>
          <cell r="AA99">
            <v>1571</v>
          </cell>
          <cell r="AB99">
            <v>1589</v>
          </cell>
        </row>
        <row r="100">
          <cell r="C100" t="str">
            <v>Hungary</v>
          </cell>
          <cell r="D100">
            <v>997</v>
          </cell>
          <cell r="E100">
            <v>969</v>
          </cell>
          <cell r="F100">
            <v>978</v>
          </cell>
          <cell r="G100">
            <v>981</v>
          </cell>
          <cell r="H100">
            <v>991</v>
          </cell>
          <cell r="I100">
            <v>994</v>
          </cell>
          <cell r="J100">
            <v>1005</v>
          </cell>
          <cell r="K100">
            <v>1011</v>
          </cell>
          <cell r="L100">
            <v>1030</v>
          </cell>
          <cell r="M100">
            <v>1007</v>
          </cell>
          <cell r="N100">
            <v>909</v>
          </cell>
          <cell r="O100">
            <v>460</v>
          </cell>
          <cell r="P100">
            <v>379</v>
          </cell>
          <cell r="Q100">
            <v>357</v>
          </cell>
          <cell r="R100">
            <v>344</v>
          </cell>
          <cell r="S100">
            <v>62</v>
          </cell>
          <cell r="T100">
            <v>192</v>
          </cell>
          <cell r="U100">
            <v>386</v>
          </cell>
          <cell r="V100">
            <v>405</v>
          </cell>
          <cell r="W100">
            <v>493</v>
          </cell>
          <cell r="X100">
            <v>512</v>
          </cell>
          <cell r="Y100">
            <v>1019</v>
          </cell>
          <cell r="Z100">
            <v>1030</v>
          </cell>
          <cell r="AA100">
            <v>1042</v>
          </cell>
          <cell r="AB100">
            <v>900</v>
          </cell>
        </row>
        <row r="101">
          <cell r="C101" t="str">
            <v>Iceland</v>
          </cell>
          <cell r="D101">
            <v>510</v>
          </cell>
          <cell r="E101">
            <v>479</v>
          </cell>
          <cell r="F101">
            <v>486</v>
          </cell>
          <cell r="G101">
            <v>485</v>
          </cell>
          <cell r="H101">
            <v>491</v>
          </cell>
          <cell r="I101">
            <v>504</v>
          </cell>
          <cell r="J101">
            <v>511</v>
          </cell>
          <cell r="K101">
            <v>513</v>
          </cell>
          <cell r="L101">
            <v>522</v>
          </cell>
          <cell r="M101">
            <v>525</v>
          </cell>
          <cell r="N101">
            <v>525</v>
          </cell>
          <cell r="O101">
            <v>473</v>
          </cell>
          <cell r="P101">
            <v>413</v>
          </cell>
          <cell r="Q101">
            <v>331</v>
          </cell>
          <cell r="R101">
            <v>265</v>
          </cell>
          <cell r="S101">
            <v>190</v>
          </cell>
          <cell r="T101">
            <v>212</v>
          </cell>
          <cell r="U101">
            <v>270</v>
          </cell>
          <cell r="V101">
            <v>421</v>
          </cell>
          <cell r="W101">
            <v>511</v>
          </cell>
          <cell r="X101">
            <v>555</v>
          </cell>
          <cell r="Y101">
            <v>675</v>
          </cell>
          <cell r="Z101">
            <v>687</v>
          </cell>
          <cell r="AA101">
            <v>707</v>
          </cell>
          <cell r="AB101">
            <v>605</v>
          </cell>
        </row>
        <row r="102">
          <cell r="C102" t="str">
            <v>India</v>
          </cell>
          <cell r="D102">
            <v>30881</v>
          </cell>
          <cell r="E102">
            <v>30732</v>
          </cell>
          <cell r="F102">
            <v>29996</v>
          </cell>
          <cell r="G102">
            <v>30514</v>
          </cell>
          <cell r="H102">
            <v>30283</v>
          </cell>
          <cell r="I102">
            <v>30578</v>
          </cell>
          <cell r="J102">
            <v>30796</v>
          </cell>
          <cell r="K102">
            <v>30965</v>
          </cell>
          <cell r="L102">
            <v>31071</v>
          </cell>
          <cell r="M102">
            <v>30814</v>
          </cell>
          <cell r="N102">
            <v>30082</v>
          </cell>
          <cell r="O102">
            <v>27170</v>
          </cell>
          <cell r="P102">
            <v>8589</v>
          </cell>
          <cell r="Q102">
            <v>7833</v>
          </cell>
          <cell r="R102">
            <v>5436</v>
          </cell>
          <cell r="S102">
            <v>3147</v>
          </cell>
          <cell r="T102">
            <v>1740</v>
          </cell>
          <cell r="U102">
            <v>2491</v>
          </cell>
          <cell r="V102">
            <v>15165</v>
          </cell>
          <cell r="W102">
            <v>26449</v>
          </cell>
          <cell r="X102">
            <v>26541</v>
          </cell>
          <cell r="Y102">
            <v>27929</v>
          </cell>
          <cell r="Z102">
            <v>27970</v>
          </cell>
          <cell r="AA102">
            <v>28021</v>
          </cell>
          <cell r="AB102">
            <v>24084</v>
          </cell>
        </row>
        <row r="103">
          <cell r="C103" t="str">
            <v>Indonesia</v>
          </cell>
          <cell r="D103">
            <v>22357</v>
          </cell>
          <cell r="E103">
            <v>22073</v>
          </cell>
          <cell r="F103">
            <v>22094</v>
          </cell>
          <cell r="G103">
            <v>21994</v>
          </cell>
          <cell r="H103">
            <v>22002</v>
          </cell>
          <cell r="I103">
            <v>21536</v>
          </cell>
          <cell r="J103">
            <v>21449</v>
          </cell>
          <cell r="K103">
            <v>21671</v>
          </cell>
          <cell r="L103">
            <v>22071</v>
          </cell>
          <cell r="M103">
            <v>21295</v>
          </cell>
          <cell r="N103">
            <v>21712</v>
          </cell>
          <cell r="O103">
            <v>19687</v>
          </cell>
          <cell r="P103">
            <v>17471</v>
          </cell>
          <cell r="Q103">
            <v>16812</v>
          </cell>
          <cell r="R103">
            <v>15714</v>
          </cell>
          <cell r="S103">
            <v>16213</v>
          </cell>
          <cell r="T103">
            <v>16609</v>
          </cell>
          <cell r="U103">
            <v>14953</v>
          </cell>
          <cell r="V103">
            <v>17523</v>
          </cell>
          <cell r="W103">
            <v>19813</v>
          </cell>
          <cell r="X103">
            <v>20318</v>
          </cell>
          <cell r="Y103">
            <v>22754</v>
          </cell>
          <cell r="Z103">
            <v>22887</v>
          </cell>
          <cell r="AA103">
            <v>22923</v>
          </cell>
          <cell r="AB103">
            <v>19653</v>
          </cell>
        </row>
        <row r="104">
          <cell r="C104" t="str">
            <v>Iran Islamic Republic of</v>
          </cell>
          <cell r="D104">
            <v>2832</v>
          </cell>
          <cell r="E104">
            <v>2821</v>
          </cell>
          <cell r="F104">
            <v>2804</v>
          </cell>
          <cell r="G104">
            <v>2800</v>
          </cell>
          <cell r="H104">
            <v>2795</v>
          </cell>
          <cell r="I104">
            <v>2732</v>
          </cell>
          <cell r="J104">
            <v>2890</v>
          </cell>
          <cell r="K104">
            <v>2804</v>
          </cell>
          <cell r="L104">
            <v>2731</v>
          </cell>
          <cell r="M104">
            <v>2660</v>
          </cell>
          <cell r="N104">
            <v>2536</v>
          </cell>
          <cell r="O104">
            <v>2517</v>
          </cell>
          <cell r="P104">
            <v>2597</v>
          </cell>
          <cell r="Q104">
            <v>2597</v>
          </cell>
          <cell r="R104">
            <v>2541</v>
          </cell>
          <cell r="S104">
            <v>2549</v>
          </cell>
          <cell r="T104">
            <v>1932</v>
          </cell>
          <cell r="U104">
            <v>1908</v>
          </cell>
          <cell r="V104">
            <v>1911</v>
          </cell>
          <cell r="W104">
            <v>1918</v>
          </cell>
          <cell r="X104">
            <v>2080</v>
          </cell>
          <cell r="Y104">
            <v>2444</v>
          </cell>
          <cell r="Z104">
            <v>2447</v>
          </cell>
          <cell r="AA104">
            <v>2447</v>
          </cell>
          <cell r="AB104">
            <v>2084</v>
          </cell>
        </row>
        <row r="105">
          <cell r="C105" t="str">
            <v>Iraq</v>
          </cell>
          <cell r="D105">
            <v>873</v>
          </cell>
          <cell r="E105">
            <v>889</v>
          </cell>
          <cell r="F105">
            <v>856</v>
          </cell>
          <cell r="G105">
            <v>852</v>
          </cell>
          <cell r="H105">
            <v>855</v>
          </cell>
          <cell r="I105">
            <v>853</v>
          </cell>
          <cell r="J105">
            <v>866</v>
          </cell>
          <cell r="K105">
            <v>841</v>
          </cell>
          <cell r="L105">
            <v>737</v>
          </cell>
          <cell r="M105">
            <v>634</v>
          </cell>
          <cell r="N105">
            <v>593</v>
          </cell>
          <cell r="O105">
            <v>283</v>
          </cell>
          <cell r="P105">
            <v>221</v>
          </cell>
          <cell r="Q105">
            <v>201</v>
          </cell>
          <cell r="R105">
            <v>240</v>
          </cell>
          <cell r="S105">
            <v>208</v>
          </cell>
          <cell r="T105">
            <v>172</v>
          </cell>
          <cell r="U105">
            <v>159</v>
          </cell>
          <cell r="V105">
            <v>160</v>
          </cell>
          <cell r="W105">
            <v>188</v>
          </cell>
          <cell r="X105">
            <v>265</v>
          </cell>
          <cell r="Y105">
            <v>474</v>
          </cell>
          <cell r="Z105">
            <v>506</v>
          </cell>
          <cell r="AA105">
            <v>509</v>
          </cell>
          <cell r="AB105">
            <v>432</v>
          </cell>
        </row>
        <row r="106">
          <cell r="C106" t="str">
            <v>Ireland Republic of</v>
          </cell>
          <cell r="D106">
            <v>2142</v>
          </cell>
          <cell r="E106">
            <v>2010</v>
          </cell>
          <cell r="F106">
            <v>2019</v>
          </cell>
          <cell r="G106">
            <v>2061</v>
          </cell>
          <cell r="H106">
            <v>2124</v>
          </cell>
          <cell r="I106">
            <v>2180</v>
          </cell>
          <cell r="J106">
            <v>2216</v>
          </cell>
          <cell r="K106">
            <v>2228</v>
          </cell>
          <cell r="L106">
            <v>2247</v>
          </cell>
          <cell r="M106">
            <v>2236</v>
          </cell>
          <cell r="N106">
            <v>2115</v>
          </cell>
          <cell r="O106">
            <v>1079</v>
          </cell>
          <cell r="P106">
            <v>371</v>
          </cell>
          <cell r="Q106">
            <v>251</v>
          </cell>
          <cell r="R106">
            <v>179</v>
          </cell>
          <cell r="S106">
            <v>185</v>
          </cell>
          <cell r="T106">
            <v>261</v>
          </cell>
          <cell r="U106">
            <v>246</v>
          </cell>
          <cell r="V106">
            <v>503</v>
          </cell>
          <cell r="W106">
            <v>1304</v>
          </cell>
          <cell r="X106">
            <v>1421</v>
          </cell>
          <cell r="Y106">
            <v>1843</v>
          </cell>
          <cell r="Z106">
            <v>1865</v>
          </cell>
          <cell r="AA106">
            <v>1883</v>
          </cell>
          <cell r="AB106">
            <v>1638</v>
          </cell>
        </row>
        <row r="107">
          <cell r="C107" t="str">
            <v>Israel</v>
          </cell>
          <cell r="D107">
            <v>1377</v>
          </cell>
          <cell r="E107">
            <v>1338</v>
          </cell>
          <cell r="F107">
            <v>1335</v>
          </cell>
          <cell r="G107">
            <v>1341</v>
          </cell>
          <cell r="H107">
            <v>1334</v>
          </cell>
          <cell r="I107">
            <v>1359</v>
          </cell>
          <cell r="J107">
            <v>1369</v>
          </cell>
          <cell r="K107">
            <v>1337</v>
          </cell>
          <cell r="L107">
            <v>1293</v>
          </cell>
          <cell r="M107">
            <v>1177</v>
          </cell>
          <cell r="N107">
            <v>688</v>
          </cell>
          <cell r="O107">
            <v>422</v>
          </cell>
          <cell r="P107">
            <v>336</v>
          </cell>
          <cell r="Q107">
            <v>222</v>
          </cell>
          <cell r="R107">
            <v>205</v>
          </cell>
          <cell r="S107">
            <v>89</v>
          </cell>
          <cell r="T107">
            <v>98</v>
          </cell>
          <cell r="U107">
            <v>152</v>
          </cell>
          <cell r="V107">
            <v>203</v>
          </cell>
          <cell r="W107">
            <v>376</v>
          </cell>
          <cell r="X107">
            <v>521</v>
          </cell>
          <cell r="Y107">
            <v>1439</v>
          </cell>
          <cell r="Z107">
            <v>1484</v>
          </cell>
          <cell r="AA107">
            <v>1491</v>
          </cell>
          <cell r="AB107">
            <v>1248</v>
          </cell>
        </row>
        <row r="108">
          <cell r="C108" t="str">
            <v>Italy</v>
          </cell>
          <cell r="D108">
            <v>11421</v>
          </cell>
          <cell r="E108">
            <v>10505</v>
          </cell>
          <cell r="F108">
            <v>10551</v>
          </cell>
          <cell r="G108">
            <v>10551</v>
          </cell>
          <cell r="H108">
            <v>10744</v>
          </cell>
          <cell r="I108">
            <v>11071</v>
          </cell>
          <cell r="J108">
            <v>11307</v>
          </cell>
          <cell r="K108">
            <v>10872</v>
          </cell>
          <cell r="L108">
            <v>10549</v>
          </cell>
          <cell r="M108">
            <v>9067</v>
          </cell>
          <cell r="N108">
            <v>3013</v>
          </cell>
          <cell r="O108">
            <v>1382</v>
          </cell>
          <cell r="P108">
            <v>1459</v>
          </cell>
          <cell r="Q108">
            <v>1510</v>
          </cell>
          <cell r="R108">
            <v>1079</v>
          </cell>
          <cell r="S108">
            <v>2618</v>
          </cell>
          <cell r="T108">
            <v>2783</v>
          </cell>
          <cell r="U108">
            <v>3112</v>
          </cell>
          <cell r="V108">
            <v>3348</v>
          </cell>
          <cell r="W108">
            <v>5387</v>
          </cell>
          <cell r="X108">
            <v>5910</v>
          </cell>
          <cell r="Y108">
            <v>12342</v>
          </cell>
          <cell r="Z108">
            <v>12512</v>
          </cell>
          <cell r="AA108">
            <v>12943</v>
          </cell>
          <cell r="AB108">
            <v>11361</v>
          </cell>
        </row>
        <row r="109">
          <cell r="C109" t="str">
            <v>Jamaica</v>
          </cell>
          <cell r="D109">
            <v>848</v>
          </cell>
          <cell r="E109">
            <v>847</v>
          </cell>
          <cell r="F109">
            <v>829</v>
          </cell>
          <cell r="G109">
            <v>824</v>
          </cell>
          <cell r="H109">
            <v>800</v>
          </cell>
          <cell r="I109">
            <v>823</v>
          </cell>
          <cell r="J109">
            <v>839</v>
          </cell>
          <cell r="K109">
            <v>836</v>
          </cell>
          <cell r="L109">
            <v>837</v>
          </cell>
          <cell r="M109">
            <v>795</v>
          </cell>
          <cell r="N109">
            <v>790</v>
          </cell>
          <cell r="O109">
            <v>630</v>
          </cell>
          <cell r="P109">
            <v>475</v>
          </cell>
          <cell r="Q109">
            <v>428</v>
          </cell>
          <cell r="R109">
            <v>345</v>
          </cell>
          <cell r="S109">
            <v>321</v>
          </cell>
          <cell r="T109">
            <v>344</v>
          </cell>
          <cell r="U109">
            <v>360</v>
          </cell>
          <cell r="V109">
            <v>384</v>
          </cell>
          <cell r="W109">
            <v>388</v>
          </cell>
          <cell r="X109">
            <v>391</v>
          </cell>
          <cell r="Y109">
            <v>497</v>
          </cell>
          <cell r="Z109">
            <v>579</v>
          </cell>
          <cell r="AA109">
            <v>587</v>
          </cell>
          <cell r="AB109">
            <v>370</v>
          </cell>
        </row>
        <row r="110">
          <cell r="C110" t="str">
            <v>Japan</v>
          </cell>
          <cell r="D110">
            <v>22466</v>
          </cell>
          <cell r="E110">
            <v>22434</v>
          </cell>
          <cell r="F110">
            <v>22595</v>
          </cell>
          <cell r="G110">
            <v>22564</v>
          </cell>
          <cell r="H110">
            <v>22066</v>
          </cell>
          <cell r="I110">
            <v>21423</v>
          </cell>
          <cell r="J110">
            <v>21040</v>
          </cell>
          <cell r="K110">
            <v>20954</v>
          </cell>
          <cell r="L110">
            <v>20523</v>
          </cell>
          <cell r="M110">
            <v>18906</v>
          </cell>
          <cell r="N110">
            <v>18063</v>
          </cell>
          <cell r="O110">
            <v>17103</v>
          </cell>
          <cell r="P110">
            <v>16532</v>
          </cell>
          <cell r="Q110">
            <v>15451</v>
          </cell>
          <cell r="R110">
            <v>13633</v>
          </cell>
          <cell r="S110">
            <v>12749</v>
          </cell>
          <cell r="T110">
            <v>12925</v>
          </cell>
          <cell r="U110">
            <v>11950</v>
          </cell>
          <cell r="V110">
            <v>11768</v>
          </cell>
          <cell r="W110">
            <v>16548</v>
          </cell>
          <cell r="X110">
            <v>16814</v>
          </cell>
          <cell r="Y110">
            <v>21269</v>
          </cell>
          <cell r="Z110">
            <v>21302</v>
          </cell>
          <cell r="AA110">
            <v>21396</v>
          </cell>
          <cell r="AB110">
            <v>18435</v>
          </cell>
        </row>
        <row r="111">
          <cell r="C111" t="str">
            <v>Jordan</v>
          </cell>
          <cell r="D111">
            <v>724</v>
          </cell>
          <cell r="E111">
            <v>704</v>
          </cell>
          <cell r="F111">
            <v>689</v>
          </cell>
          <cell r="G111">
            <v>694</v>
          </cell>
          <cell r="H111">
            <v>686</v>
          </cell>
          <cell r="I111">
            <v>690</v>
          </cell>
          <cell r="J111">
            <v>697</v>
          </cell>
          <cell r="K111">
            <v>697</v>
          </cell>
          <cell r="L111">
            <v>691</v>
          </cell>
          <cell r="M111">
            <v>643</v>
          </cell>
          <cell r="N111">
            <v>515</v>
          </cell>
          <cell r="O111">
            <v>112</v>
          </cell>
          <cell r="P111">
            <v>114</v>
          </cell>
          <cell r="Q111">
            <v>97</v>
          </cell>
          <cell r="R111">
            <v>112</v>
          </cell>
          <cell r="S111">
            <v>95</v>
          </cell>
          <cell r="T111">
            <v>89</v>
          </cell>
          <cell r="U111">
            <v>95</v>
          </cell>
          <cell r="V111">
            <v>199</v>
          </cell>
          <cell r="W111">
            <v>324</v>
          </cell>
          <cell r="X111">
            <v>404</v>
          </cell>
          <cell r="Y111">
            <v>715</v>
          </cell>
          <cell r="Z111">
            <v>739</v>
          </cell>
          <cell r="AA111">
            <v>754</v>
          </cell>
          <cell r="AB111">
            <v>652</v>
          </cell>
        </row>
        <row r="112">
          <cell r="C112" t="str">
            <v>Kazakhstan</v>
          </cell>
          <cell r="D112">
            <v>1498</v>
          </cell>
          <cell r="E112">
            <v>1349</v>
          </cell>
          <cell r="F112">
            <v>1327</v>
          </cell>
          <cell r="G112">
            <v>1332</v>
          </cell>
          <cell r="H112">
            <v>1336</v>
          </cell>
          <cell r="I112">
            <v>1326</v>
          </cell>
          <cell r="J112">
            <v>1326</v>
          </cell>
          <cell r="K112">
            <v>1322</v>
          </cell>
          <cell r="L112">
            <v>1344</v>
          </cell>
          <cell r="M112">
            <v>1318</v>
          </cell>
          <cell r="N112">
            <v>1276</v>
          </cell>
          <cell r="O112">
            <v>369</v>
          </cell>
          <cell r="P112">
            <v>298</v>
          </cell>
          <cell r="Q112">
            <v>225</v>
          </cell>
          <cell r="R112">
            <v>392</v>
          </cell>
          <cell r="S112">
            <v>226</v>
          </cell>
          <cell r="T112">
            <v>600</v>
          </cell>
          <cell r="U112">
            <v>786</v>
          </cell>
          <cell r="V112">
            <v>881</v>
          </cell>
          <cell r="W112">
            <v>889</v>
          </cell>
          <cell r="X112">
            <v>914</v>
          </cell>
          <cell r="Y112">
            <v>1262</v>
          </cell>
          <cell r="Z112">
            <v>1285</v>
          </cell>
          <cell r="AA112">
            <v>1289</v>
          </cell>
          <cell r="AB112">
            <v>1103</v>
          </cell>
        </row>
        <row r="113">
          <cell r="C113" t="str">
            <v>Kenya</v>
          </cell>
          <cell r="D113">
            <v>4741</v>
          </cell>
          <cell r="E113">
            <v>4722</v>
          </cell>
          <cell r="F113">
            <v>4717</v>
          </cell>
          <cell r="G113">
            <v>4497</v>
          </cell>
          <cell r="H113">
            <v>4687</v>
          </cell>
          <cell r="I113">
            <v>4688</v>
          </cell>
          <cell r="J113">
            <v>4676</v>
          </cell>
          <cell r="K113">
            <v>4666</v>
          </cell>
          <cell r="L113">
            <v>4705</v>
          </cell>
          <cell r="M113">
            <v>4274</v>
          </cell>
          <cell r="N113">
            <v>4232</v>
          </cell>
          <cell r="O113">
            <v>3682</v>
          </cell>
          <cell r="P113">
            <v>3055</v>
          </cell>
          <cell r="Q113">
            <v>3053</v>
          </cell>
          <cell r="R113">
            <v>2905</v>
          </cell>
          <cell r="S113">
            <v>2996</v>
          </cell>
          <cell r="T113">
            <v>2831</v>
          </cell>
          <cell r="U113">
            <v>2086</v>
          </cell>
          <cell r="V113">
            <v>2130</v>
          </cell>
          <cell r="W113">
            <v>2546</v>
          </cell>
          <cell r="X113">
            <v>2848</v>
          </cell>
          <cell r="Y113">
            <v>3198</v>
          </cell>
          <cell r="Z113">
            <v>3198</v>
          </cell>
          <cell r="AA113">
            <v>3527</v>
          </cell>
          <cell r="AB113">
            <v>3072</v>
          </cell>
        </row>
        <row r="114">
          <cell r="C114" t="str">
            <v>Kiribati</v>
          </cell>
          <cell r="D114">
            <v>123</v>
          </cell>
          <cell r="E114">
            <v>123</v>
          </cell>
          <cell r="F114">
            <v>123</v>
          </cell>
          <cell r="G114">
            <v>123</v>
          </cell>
          <cell r="H114">
            <v>123</v>
          </cell>
          <cell r="I114">
            <v>123</v>
          </cell>
          <cell r="J114">
            <v>121</v>
          </cell>
          <cell r="K114">
            <v>123</v>
          </cell>
          <cell r="L114">
            <v>123</v>
          </cell>
          <cell r="M114">
            <v>123</v>
          </cell>
          <cell r="N114">
            <v>120</v>
          </cell>
          <cell r="O114">
            <v>118</v>
          </cell>
          <cell r="P114">
            <v>111</v>
          </cell>
          <cell r="Q114">
            <v>111</v>
          </cell>
          <cell r="R114">
            <v>111</v>
          </cell>
          <cell r="S114">
            <v>111</v>
          </cell>
          <cell r="T114">
            <v>111</v>
          </cell>
          <cell r="U114">
            <v>111</v>
          </cell>
          <cell r="V114">
            <v>111</v>
          </cell>
          <cell r="W114">
            <v>111</v>
          </cell>
          <cell r="X114">
            <v>111</v>
          </cell>
          <cell r="Y114">
            <v>115</v>
          </cell>
          <cell r="Z114">
            <v>115</v>
          </cell>
          <cell r="AA114">
            <v>115</v>
          </cell>
          <cell r="AB114">
            <v>95</v>
          </cell>
        </row>
        <row r="115">
          <cell r="C115" t="str">
            <v>Korea Democratic People's Republic of</v>
          </cell>
          <cell r="D115">
            <v>4</v>
          </cell>
          <cell r="E115">
            <v>4</v>
          </cell>
          <cell r="F115">
            <v>8</v>
          </cell>
          <cell r="G115">
            <v>6</v>
          </cell>
          <cell r="H115">
            <v>6</v>
          </cell>
          <cell r="I115">
            <v>6</v>
          </cell>
          <cell r="J115">
            <v>6</v>
          </cell>
          <cell r="K115">
            <v>6</v>
          </cell>
          <cell r="L115">
            <v>6</v>
          </cell>
          <cell r="M115">
            <v>6</v>
          </cell>
          <cell r="N115">
            <v>7</v>
          </cell>
          <cell r="O115">
            <v>7</v>
          </cell>
          <cell r="P115">
            <v>7</v>
          </cell>
          <cell r="Q115">
            <v>7</v>
          </cell>
          <cell r="R115">
            <v>7</v>
          </cell>
          <cell r="S115">
            <v>8</v>
          </cell>
          <cell r="T115">
            <v>7</v>
          </cell>
          <cell r="U115">
            <v>5</v>
          </cell>
          <cell r="V115">
            <v>5</v>
          </cell>
          <cell r="W115">
            <v>5</v>
          </cell>
          <cell r="X115">
            <v>5</v>
          </cell>
          <cell r="Y115">
            <v>8</v>
          </cell>
          <cell r="Z115">
            <v>8</v>
          </cell>
          <cell r="AA115">
            <v>8</v>
          </cell>
          <cell r="AB115">
            <v>8</v>
          </cell>
        </row>
        <row r="116">
          <cell r="C116" t="str">
            <v>Korea Republic of</v>
          </cell>
          <cell r="D116">
            <v>8655</v>
          </cell>
          <cell r="E116">
            <v>8643</v>
          </cell>
          <cell r="F116">
            <v>8793</v>
          </cell>
          <cell r="G116">
            <v>8663</v>
          </cell>
          <cell r="H116">
            <v>8316</v>
          </cell>
          <cell r="I116">
            <v>7708</v>
          </cell>
          <cell r="J116">
            <v>7185</v>
          </cell>
          <cell r="K116">
            <v>6998</v>
          </cell>
          <cell r="L116">
            <v>5532</v>
          </cell>
          <cell r="M116">
            <v>4014</v>
          </cell>
          <cell r="N116">
            <v>3649</v>
          </cell>
          <cell r="O116">
            <v>3700</v>
          </cell>
          <cell r="P116">
            <v>3652</v>
          </cell>
          <cell r="Q116">
            <v>3451</v>
          </cell>
          <cell r="R116">
            <v>3364</v>
          </cell>
          <cell r="S116">
            <v>3525</v>
          </cell>
          <cell r="T116">
            <v>4455</v>
          </cell>
          <cell r="U116">
            <v>4380</v>
          </cell>
          <cell r="V116">
            <v>4589</v>
          </cell>
          <cell r="W116">
            <v>5010</v>
          </cell>
          <cell r="X116">
            <v>5056</v>
          </cell>
          <cell r="Y116">
            <v>7472</v>
          </cell>
          <cell r="Z116">
            <v>7608</v>
          </cell>
          <cell r="AA116">
            <v>7728</v>
          </cell>
          <cell r="AB116">
            <v>6628</v>
          </cell>
        </row>
        <row r="117">
          <cell r="C117" t="str">
            <v>Kuwait</v>
          </cell>
          <cell r="D117">
            <v>1169</v>
          </cell>
          <cell r="E117">
            <v>1199</v>
          </cell>
          <cell r="F117">
            <v>1184</v>
          </cell>
          <cell r="G117">
            <v>1171</v>
          </cell>
          <cell r="H117">
            <v>1151</v>
          </cell>
          <cell r="I117">
            <v>1136</v>
          </cell>
          <cell r="J117">
            <v>1155</v>
          </cell>
          <cell r="K117">
            <v>1215</v>
          </cell>
          <cell r="L117">
            <v>1130</v>
          </cell>
          <cell r="M117">
            <v>947</v>
          </cell>
          <cell r="N117">
            <v>737</v>
          </cell>
          <cell r="O117">
            <v>614</v>
          </cell>
          <cell r="P117">
            <v>624</v>
          </cell>
          <cell r="Q117">
            <v>444</v>
          </cell>
          <cell r="R117">
            <v>319</v>
          </cell>
          <cell r="S117">
            <v>362</v>
          </cell>
          <cell r="T117">
            <v>371</v>
          </cell>
          <cell r="U117">
            <v>353</v>
          </cell>
          <cell r="V117">
            <v>499</v>
          </cell>
          <cell r="W117">
            <v>824</v>
          </cell>
          <cell r="X117">
            <v>884</v>
          </cell>
          <cell r="Y117">
            <v>1078</v>
          </cell>
          <cell r="Z117">
            <v>1101</v>
          </cell>
          <cell r="AA117">
            <v>1130</v>
          </cell>
          <cell r="AB117">
            <v>987</v>
          </cell>
        </row>
        <row r="118">
          <cell r="C118" t="str">
            <v>Kyrgyzstan</v>
          </cell>
          <cell r="D118">
            <v>241</v>
          </cell>
          <cell r="E118">
            <v>236</v>
          </cell>
          <cell r="F118">
            <v>245</v>
          </cell>
          <cell r="G118">
            <v>239</v>
          </cell>
          <cell r="H118">
            <v>259</v>
          </cell>
          <cell r="I118">
            <v>253</v>
          </cell>
          <cell r="J118">
            <v>259</v>
          </cell>
          <cell r="K118">
            <v>255</v>
          </cell>
          <cell r="L118">
            <v>216</v>
          </cell>
          <cell r="M118">
            <v>206</v>
          </cell>
          <cell r="N118">
            <v>201</v>
          </cell>
          <cell r="O118">
            <v>156</v>
          </cell>
          <cell r="P118">
            <v>100</v>
          </cell>
          <cell r="Q118">
            <v>78</v>
          </cell>
          <cell r="R118">
            <v>25</v>
          </cell>
          <cell r="S118">
            <v>27</v>
          </cell>
          <cell r="T118">
            <v>18</v>
          </cell>
          <cell r="U118">
            <v>25</v>
          </cell>
          <cell r="V118">
            <v>28</v>
          </cell>
          <cell r="W118">
            <v>54</v>
          </cell>
          <cell r="X118">
            <v>47</v>
          </cell>
          <cell r="Y118">
            <v>136</v>
          </cell>
          <cell r="Z118">
            <v>133</v>
          </cell>
          <cell r="AA118">
            <v>143</v>
          </cell>
          <cell r="AB118">
            <v>133</v>
          </cell>
        </row>
        <row r="119">
          <cell r="C119" t="str">
            <v>Lao People's Democratic Republic</v>
          </cell>
          <cell r="D119">
            <v>610</v>
          </cell>
          <cell r="E119">
            <v>611</v>
          </cell>
          <cell r="F119">
            <v>617</v>
          </cell>
          <cell r="G119">
            <v>618</v>
          </cell>
          <cell r="H119">
            <v>584</v>
          </cell>
          <cell r="I119">
            <v>559</v>
          </cell>
          <cell r="J119">
            <v>526</v>
          </cell>
          <cell r="K119">
            <v>520</v>
          </cell>
          <cell r="L119">
            <v>516</v>
          </cell>
          <cell r="M119">
            <v>504</v>
          </cell>
          <cell r="N119">
            <v>481</v>
          </cell>
          <cell r="O119">
            <v>336</v>
          </cell>
          <cell r="P119">
            <v>209</v>
          </cell>
          <cell r="Q119">
            <v>155</v>
          </cell>
          <cell r="R119">
            <v>9</v>
          </cell>
          <cell r="S119">
            <v>154</v>
          </cell>
          <cell r="T119">
            <v>157</v>
          </cell>
          <cell r="U119">
            <v>51</v>
          </cell>
          <cell r="V119">
            <v>83</v>
          </cell>
          <cell r="W119">
            <v>83</v>
          </cell>
          <cell r="X119">
            <v>85</v>
          </cell>
          <cell r="Y119">
            <v>236</v>
          </cell>
          <cell r="Z119">
            <v>238</v>
          </cell>
          <cell r="AA119">
            <v>238</v>
          </cell>
          <cell r="AB119">
            <v>203</v>
          </cell>
        </row>
        <row r="120">
          <cell r="C120" t="str">
            <v>Latvia</v>
          </cell>
          <cell r="D120">
            <v>702</v>
          </cell>
          <cell r="E120">
            <v>659</v>
          </cell>
          <cell r="F120">
            <v>657</v>
          </cell>
          <cell r="G120">
            <v>660</v>
          </cell>
          <cell r="H120">
            <v>661</v>
          </cell>
          <cell r="I120">
            <v>665</v>
          </cell>
          <cell r="J120">
            <v>661</v>
          </cell>
          <cell r="K120">
            <v>677</v>
          </cell>
          <cell r="L120">
            <v>698</v>
          </cell>
          <cell r="M120">
            <v>697</v>
          </cell>
          <cell r="N120">
            <v>671</v>
          </cell>
          <cell r="O120">
            <v>87</v>
          </cell>
          <cell r="P120">
            <v>66</v>
          </cell>
          <cell r="Q120">
            <v>67</v>
          </cell>
          <cell r="R120">
            <v>68</v>
          </cell>
          <cell r="S120">
            <v>29</v>
          </cell>
          <cell r="T120">
            <v>48</v>
          </cell>
          <cell r="U120">
            <v>77</v>
          </cell>
          <cell r="V120">
            <v>157</v>
          </cell>
          <cell r="W120">
            <v>188</v>
          </cell>
          <cell r="X120">
            <v>201</v>
          </cell>
          <cell r="Y120">
            <v>307</v>
          </cell>
          <cell r="Z120">
            <v>338</v>
          </cell>
          <cell r="AA120">
            <v>352</v>
          </cell>
          <cell r="AB120">
            <v>317</v>
          </cell>
        </row>
        <row r="121">
          <cell r="C121" t="str">
            <v>Lebanon</v>
          </cell>
          <cell r="D121">
            <v>550</v>
          </cell>
          <cell r="E121">
            <v>516</v>
          </cell>
          <cell r="F121">
            <v>510</v>
          </cell>
          <cell r="G121">
            <v>495</v>
          </cell>
          <cell r="H121">
            <v>492</v>
          </cell>
          <cell r="I121">
            <v>498</v>
          </cell>
          <cell r="J121">
            <v>499</v>
          </cell>
          <cell r="K121">
            <v>487</v>
          </cell>
          <cell r="L121">
            <v>476</v>
          </cell>
          <cell r="M121">
            <v>428</v>
          </cell>
          <cell r="N121">
            <v>361</v>
          </cell>
          <cell r="O121">
            <v>55</v>
          </cell>
          <cell r="P121">
            <v>42</v>
          </cell>
          <cell r="Q121">
            <v>33</v>
          </cell>
          <cell r="R121">
            <v>242</v>
          </cell>
          <cell r="S121">
            <v>35</v>
          </cell>
          <cell r="T121">
            <v>35</v>
          </cell>
          <cell r="U121">
            <v>44</v>
          </cell>
          <cell r="V121">
            <v>74</v>
          </cell>
          <cell r="W121">
            <v>109</v>
          </cell>
          <cell r="X121">
            <v>138</v>
          </cell>
          <cell r="Y121">
            <v>262</v>
          </cell>
          <cell r="Z121">
            <v>442</v>
          </cell>
          <cell r="AA121">
            <v>463</v>
          </cell>
          <cell r="AB121">
            <v>412</v>
          </cell>
        </row>
        <row r="122">
          <cell r="C122" t="str">
            <v>Lesotho</v>
          </cell>
          <cell r="D122">
            <v>21</v>
          </cell>
          <cell r="E122">
            <v>21</v>
          </cell>
          <cell r="F122">
            <v>19</v>
          </cell>
          <cell r="G122">
            <v>17</v>
          </cell>
          <cell r="H122">
            <v>19</v>
          </cell>
          <cell r="I122">
            <v>19</v>
          </cell>
          <cell r="J122">
            <v>19</v>
          </cell>
          <cell r="K122">
            <v>19</v>
          </cell>
          <cell r="L122">
            <v>20</v>
          </cell>
          <cell r="M122">
            <v>20</v>
          </cell>
          <cell r="N122">
            <v>19</v>
          </cell>
          <cell r="O122">
            <v>7</v>
          </cell>
          <cell r="R122">
            <v>0</v>
          </cell>
          <cell r="S122">
            <v>4</v>
          </cell>
          <cell r="T122">
            <v>2</v>
          </cell>
          <cell r="U122">
            <v>0</v>
          </cell>
          <cell r="Z122">
            <v>8</v>
          </cell>
          <cell r="AA122">
            <v>14</v>
          </cell>
          <cell r="AB122">
            <v>12</v>
          </cell>
        </row>
        <row r="123">
          <cell r="C123" t="str">
            <v>Liberia</v>
          </cell>
          <cell r="D123">
            <v>52</v>
          </cell>
          <cell r="E123">
            <v>51</v>
          </cell>
          <cell r="F123">
            <v>49</v>
          </cell>
          <cell r="G123">
            <v>50</v>
          </cell>
          <cell r="H123">
            <v>50</v>
          </cell>
          <cell r="I123">
            <v>50</v>
          </cell>
          <cell r="J123">
            <v>50</v>
          </cell>
          <cell r="K123">
            <v>50</v>
          </cell>
          <cell r="L123">
            <v>50</v>
          </cell>
          <cell r="M123">
            <v>50</v>
          </cell>
          <cell r="N123">
            <v>45</v>
          </cell>
          <cell r="O123">
            <v>29</v>
          </cell>
          <cell r="P123">
            <v>8</v>
          </cell>
          <cell r="Q123">
            <v>7</v>
          </cell>
          <cell r="R123">
            <v>7</v>
          </cell>
          <cell r="S123">
            <v>7</v>
          </cell>
          <cell r="T123">
            <v>6</v>
          </cell>
          <cell r="U123">
            <v>4</v>
          </cell>
          <cell r="V123">
            <v>10</v>
          </cell>
          <cell r="W123">
            <v>20</v>
          </cell>
          <cell r="X123">
            <v>24</v>
          </cell>
          <cell r="Y123">
            <v>31</v>
          </cell>
          <cell r="Z123">
            <v>32</v>
          </cell>
          <cell r="AA123">
            <v>39</v>
          </cell>
          <cell r="AB123">
            <v>40</v>
          </cell>
        </row>
        <row r="124">
          <cell r="C124" t="str">
            <v>Libya</v>
          </cell>
          <cell r="D124">
            <v>167</v>
          </cell>
          <cell r="E124">
            <v>160</v>
          </cell>
          <cell r="F124">
            <v>160</v>
          </cell>
          <cell r="G124">
            <v>152</v>
          </cell>
          <cell r="H124">
            <v>112</v>
          </cell>
          <cell r="I124">
            <v>112</v>
          </cell>
          <cell r="J124">
            <v>112</v>
          </cell>
          <cell r="K124">
            <v>111</v>
          </cell>
          <cell r="L124">
            <v>109</v>
          </cell>
          <cell r="M124">
            <v>117</v>
          </cell>
          <cell r="N124">
            <v>119</v>
          </cell>
          <cell r="O124">
            <v>101</v>
          </cell>
          <cell r="P124">
            <v>111</v>
          </cell>
          <cell r="Q124">
            <v>111</v>
          </cell>
          <cell r="R124">
            <v>111</v>
          </cell>
          <cell r="S124">
            <v>111</v>
          </cell>
          <cell r="T124">
            <v>76</v>
          </cell>
          <cell r="U124">
            <v>111</v>
          </cell>
          <cell r="V124">
            <v>111</v>
          </cell>
          <cell r="W124">
            <v>111</v>
          </cell>
          <cell r="X124">
            <v>111</v>
          </cell>
          <cell r="Y124">
            <v>28</v>
          </cell>
          <cell r="Z124">
            <v>28</v>
          </cell>
          <cell r="AA124">
            <v>28</v>
          </cell>
          <cell r="AB124">
            <v>24</v>
          </cell>
        </row>
        <row r="125">
          <cell r="C125" t="str">
            <v>Lithuania</v>
          </cell>
          <cell r="D125">
            <v>456</v>
          </cell>
          <cell r="E125">
            <v>443</v>
          </cell>
          <cell r="F125">
            <v>445</v>
          </cell>
          <cell r="G125">
            <v>445</v>
          </cell>
          <cell r="H125">
            <v>448</v>
          </cell>
          <cell r="I125">
            <v>450</v>
          </cell>
          <cell r="J125">
            <v>454</v>
          </cell>
          <cell r="K125">
            <v>459</v>
          </cell>
          <cell r="L125">
            <v>462</v>
          </cell>
          <cell r="M125">
            <v>454</v>
          </cell>
          <cell r="N125">
            <v>432</v>
          </cell>
          <cell r="O125">
            <v>110</v>
          </cell>
          <cell r="P125">
            <v>81</v>
          </cell>
          <cell r="Q125">
            <v>83</v>
          </cell>
          <cell r="R125">
            <v>77</v>
          </cell>
          <cell r="S125">
            <v>11</v>
          </cell>
          <cell r="T125">
            <v>51</v>
          </cell>
          <cell r="U125">
            <v>108</v>
          </cell>
          <cell r="V125">
            <v>182</v>
          </cell>
          <cell r="W125">
            <v>194</v>
          </cell>
          <cell r="X125">
            <v>207</v>
          </cell>
          <cell r="Y125">
            <v>342</v>
          </cell>
          <cell r="Z125">
            <v>356</v>
          </cell>
          <cell r="AA125">
            <v>378</v>
          </cell>
          <cell r="AB125">
            <v>321</v>
          </cell>
        </row>
        <row r="126">
          <cell r="C126" t="str">
            <v>Luxembourg</v>
          </cell>
          <cell r="D126">
            <v>486</v>
          </cell>
          <cell r="E126">
            <v>488</v>
          </cell>
          <cell r="F126">
            <v>497</v>
          </cell>
          <cell r="G126">
            <v>497</v>
          </cell>
          <cell r="H126">
            <v>504</v>
          </cell>
          <cell r="I126">
            <v>525</v>
          </cell>
          <cell r="J126">
            <v>527</v>
          </cell>
          <cell r="K126">
            <v>528</v>
          </cell>
          <cell r="L126">
            <v>527</v>
          </cell>
          <cell r="M126">
            <v>481</v>
          </cell>
          <cell r="N126">
            <v>380</v>
          </cell>
          <cell r="O126">
            <v>76</v>
          </cell>
          <cell r="P126">
            <v>23</v>
          </cell>
          <cell r="Q126">
            <v>14</v>
          </cell>
          <cell r="R126">
            <v>3</v>
          </cell>
          <cell r="S126">
            <v>5</v>
          </cell>
          <cell r="T126">
            <v>5</v>
          </cell>
          <cell r="U126">
            <v>5</v>
          </cell>
          <cell r="V126">
            <v>9</v>
          </cell>
          <cell r="W126">
            <v>46</v>
          </cell>
          <cell r="X126">
            <v>100</v>
          </cell>
          <cell r="Y126">
            <v>512</v>
          </cell>
          <cell r="Z126">
            <v>511</v>
          </cell>
          <cell r="AA126">
            <v>516</v>
          </cell>
          <cell r="AB126">
            <v>442</v>
          </cell>
        </row>
        <row r="127">
          <cell r="C127" t="str">
            <v>Macao (sar) China</v>
          </cell>
          <cell r="D127">
            <v>871</v>
          </cell>
          <cell r="E127">
            <v>890</v>
          </cell>
          <cell r="F127">
            <v>932</v>
          </cell>
          <cell r="G127">
            <v>931</v>
          </cell>
          <cell r="H127">
            <v>710</v>
          </cell>
          <cell r="I127">
            <v>382</v>
          </cell>
          <cell r="J127">
            <v>289</v>
          </cell>
          <cell r="K127">
            <v>342</v>
          </cell>
          <cell r="L127">
            <v>317</v>
          </cell>
          <cell r="M127">
            <v>267</v>
          </cell>
          <cell r="N127">
            <v>312</v>
          </cell>
          <cell r="O127">
            <v>274</v>
          </cell>
          <cell r="P127">
            <v>235</v>
          </cell>
          <cell r="Q127">
            <v>73</v>
          </cell>
          <cell r="R127">
            <v>72</v>
          </cell>
          <cell r="S127">
            <v>15</v>
          </cell>
          <cell r="T127">
            <v>38</v>
          </cell>
          <cell r="U127">
            <v>65</v>
          </cell>
          <cell r="V127">
            <v>74</v>
          </cell>
          <cell r="W127">
            <v>81</v>
          </cell>
          <cell r="X127">
            <v>85</v>
          </cell>
          <cell r="Y127">
            <v>639</v>
          </cell>
          <cell r="Z127">
            <v>663</v>
          </cell>
          <cell r="AA127">
            <v>664</v>
          </cell>
          <cell r="AB127">
            <v>581</v>
          </cell>
        </row>
        <row r="128">
          <cell r="C128" t="str">
            <v>Macedonia Former Yugoslav Republic of</v>
          </cell>
          <cell r="D128">
            <v>162</v>
          </cell>
          <cell r="E128">
            <v>150</v>
          </cell>
          <cell r="F128">
            <v>151</v>
          </cell>
          <cell r="G128">
            <v>150</v>
          </cell>
          <cell r="H128">
            <v>150</v>
          </cell>
          <cell r="I128">
            <v>152</v>
          </cell>
          <cell r="J128">
            <v>151</v>
          </cell>
          <cell r="K128">
            <v>151</v>
          </cell>
          <cell r="L128">
            <v>153</v>
          </cell>
          <cell r="M128">
            <v>151</v>
          </cell>
          <cell r="N128">
            <v>151</v>
          </cell>
          <cell r="O128">
            <v>94</v>
          </cell>
          <cell r="P128">
            <v>117</v>
          </cell>
          <cell r="Q128">
            <v>119</v>
          </cell>
          <cell r="R128">
            <v>120</v>
          </cell>
          <cell r="S128">
            <v>89</v>
          </cell>
          <cell r="T128">
            <v>110</v>
          </cell>
          <cell r="U128">
            <v>122</v>
          </cell>
          <cell r="V128">
            <v>131</v>
          </cell>
          <cell r="W128">
            <v>135</v>
          </cell>
          <cell r="X128">
            <v>155</v>
          </cell>
          <cell r="Y128">
            <v>198</v>
          </cell>
          <cell r="Z128">
            <v>208</v>
          </cell>
          <cell r="AA128">
            <v>209</v>
          </cell>
          <cell r="AB128">
            <v>180</v>
          </cell>
        </row>
        <row r="129">
          <cell r="C129" t="str">
            <v>Madagascar</v>
          </cell>
          <cell r="D129">
            <v>338</v>
          </cell>
          <cell r="E129">
            <v>325</v>
          </cell>
          <cell r="F129">
            <v>299</v>
          </cell>
          <cell r="G129">
            <v>289</v>
          </cell>
          <cell r="H129">
            <v>290</v>
          </cell>
          <cell r="I129">
            <v>283</v>
          </cell>
          <cell r="J129">
            <v>276</v>
          </cell>
          <cell r="K129">
            <v>284</v>
          </cell>
          <cell r="L129">
            <v>319</v>
          </cell>
          <cell r="M129">
            <v>322</v>
          </cell>
          <cell r="N129">
            <v>321</v>
          </cell>
          <cell r="O129">
            <v>258</v>
          </cell>
          <cell r="P129">
            <v>210</v>
          </cell>
          <cell r="Q129">
            <v>231</v>
          </cell>
          <cell r="R129">
            <v>232</v>
          </cell>
          <cell r="S129">
            <v>257</v>
          </cell>
          <cell r="T129">
            <v>228</v>
          </cell>
          <cell r="U129">
            <v>21</v>
          </cell>
          <cell r="V129">
            <v>65</v>
          </cell>
          <cell r="W129">
            <v>75</v>
          </cell>
          <cell r="X129">
            <v>85</v>
          </cell>
          <cell r="Y129">
            <v>86</v>
          </cell>
          <cell r="Z129">
            <v>88</v>
          </cell>
          <cell r="AA129">
            <v>95</v>
          </cell>
          <cell r="AB129">
            <v>85</v>
          </cell>
        </row>
        <row r="130">
          <cell r="C130" t="str">
            <v>Malawi</v>
          </cell>
          <cell r="D130">
            <v>253</v>
          </cell>
          <cell r="E130">
            <v>248</v>
          </cell>
          <cell r="F130">
            <v>224</v>
          </cell>
          <cell r="G130">
            <v>211</v>
          </cell>
          <cell r="H130">
            <v>181</v>
          </cell>
          <cell r="I130">
            <v>179</v>
          </cell>
          <cell r="J130">
            <v>255</v>
          </cell>
          <cell r="K130">
            <v>255</v>
          </cell>
          <cell r="L130">
            <v>255</v>
          </cell>
          <cell r="M130">
            <v>249</v>
          </cell>
          <cell r="N130">
            <v>272</v>
          </cell>
          <cell r="O130">
            <v>274</v>
          </cell>
          <cell r="P130">
            <v>214</v>
          </cell>
          <cell r="Q130">
            <v>109</v>
          </cell>
          <cell r="R130">
            <v>127</v>
          </cell>
          <cell r="S130">
            <v>152</v>
          </cell>
          <cell r="T130">
            <v>130</v>
          </cell>
          <cell r="U130">
            <v>0</v>
          </cell>
          <cell r="V130">
            <v>5</v>
          </cell>
          <cell r="W130">
            <v>27</v>
          </cell>
          <cell r="X130">
            <v>36</v>
          </cell>
          <cell r="Y130">
            <v>133</v>
          </cell>
          <cell r="Z130">
            <v>134</v>
          </cell>
          <cell r="AA130">
            <v>134</v>
          </cell>
          <cell r="AB130">
            <v>112</v>
          </cell>
        </row>
        <row r="131">
          <cell r="C131" t="str">
            <v>Malaysia</v>
          </cell>
          <cell r="D131">
            <v>8921</v>
          </cell>
          <cell r="E131">
            <v>8948</v>
          </cell>
          <cell r="F131">
            <v>9335</v>
          </cell>
          <cell r="G131">
            <v>9391</v>
          </cell>
          <cell r="H131">
            <v>8819</v>
          </cell>
          <cell r="I131">
            <v>8575</v>
          </cell>
          <cell r="J131">
            <v>8226</v>
          </cell>
          <cell r="K131">
            <v>7970</v>
          </cell>
          <cell r="L131">
            <v>7389</v>
          </cell>
          <cell r="M131">
            <v>7198</v>
          </cell>
          <cell r="N131">
            <v>6942</v>
          </cell>
          <cell r="O131">
            <v>3062</v>
          </cell>
          <cell r="P131">
            <v>3855</v>
          </cell>
          <cell r="Q131">
            <v>3611</v>
          </cell>
          <cell r="R131">
            <v>1426</v>
          </cell>
          <cell r="S131">
            <v>733</v>
          </cell>
          <cell r="T131">
            <v>1531</v>
          </cell>
          <cell r="U131">
            <v>771</v>
          </cell>
          <cell r="V131">
            <v>1564</v>
          </cell>
          <cell r="W131">
            <v>2830</v>
          </cell>
          <cell r="X131">
            <v>2848</v>
          </cell>
          <cell r="Y131">
            <v>6940</v>
          </cell>
          <cell r="Z131">
            <v>6882</v>
          </cell>
          <cell r="AA131">
            <v>6886</v>
          </cell>
          <cell r="AB131">
            <v>5902</v>
          </cell>
        </row>
        <row r="132">
          <cell r="C132" t="str">
            <v>Maldives</v>
          </cell>
          <cell r="D132">
            <v>1893</v>
          </cell>
          <cell r="E132">
            <v>1884</v>
          </cell>
          <cell r="F132">
            <v>1887</v>
          </cell>
          <cell r="G132">
            <v>1882</v>
          </cell>
          <cell r="H132">
            <v>1867</v>
          </cell>
          <cell r="I132">
            <v>1843</v>
          </cell>
          <cell r="J132">
            <v>1742</v>
          </cell>
          <cell r="K132">
            <v>1737</v>
          </cell>
          <cell r="L132">
            <v>1726</v>
          </cell>
          <cell r="M132">
            <v>1721</v>
          </cell>
          <cell r="N132">
            <v>1712</v>
          </cell>
          <cell r="O132">
            <v>1404</v>
          </cell>
          <cell r="P132">
            <v>1445</v>
          </cell>
          <cell r="Q132">
            <v>1442</v>
          </cell>
          <cell r="R132">
            <v>1412</v>
          </cell>
          <cell r="S132">
            <v>395</v>
          </cell>
          <cell r="T132">
            <v>371</v>
          </cell>
          <cell r="U132">
            <v>116</v>
          </cell>
          <cell r="V132">
            <v>143</v>
          </cell>
          <cell r="W132">
            <v>80</v>
          </cell>
          <cell r="X132">
            <v>86</v>
          </cell>
          <cell r="Y132">
            <v>159</v>
          </cell>
          <cell r="Z132">
            <v>157</v>
          </cell>
          <cell r="AA132">
            <v>162</v>
          </cell>
          <cell r="AB132">
            <v>136</v>
          </cell>
        </row>
        <row r="133">
          <cell r="C133" t="str">
            <v>Mali</v>
          </cell>
          <cell r="D133">
            <v>123</v>
          </cell>
          <cell r="E133">
            <v>121</v>
          </cell>
          <cell r="F133">
            <v>119</v>
          </cell>
          <cell r="G133">
            <v>124</v>
          </cell>
          <cell r="H133">
            <v>123</v>
          </cell>
          <cell r="I133">
            <v>123</v>
          </cell>
          <cell r="J133">
            <v>121</v>
          </cell>
          <cell r="K133">
            <v>125</v>
          </cell>
          <cell r="L133">
            <v>125</v>
          </cell>
          <cell r="M133">
            <v>123</v>
          </cell>
          <cell r="N133">
            <v>116</v>
          </cell>
          <cell r="O133">
            <v>46</v>
          </cell>
          <cell r="P133">
            <v>42</v>
          </cell>
          <cell r="Q133">
            <v>42</v>
          </cell>
          <cell r="R133">
            <v>29</v>
          </cell>
          <cell r="S133">
            <v>16</v>
          </cell>
          <cell r="T133">
            <v>34</v>
          </cell>
          <cell r="U133">
            <v>23</v>
          </cell>
          <cell r="V133">
            <v>31</v>
          </cell>
          <cell r="W133">
            <v>45</v>
          </cell>
          <cell r="X133">
            <v>52</v>
          </cell>
          <cell r="Y133">
            <v>99</v>
          </cell>
          <cell r="Z133">
            <v>100</v>
          </cell>
          <cell r="AA133">
            <v>124</v>
          </cell>
          <cell r="AB133">
            <v>105</v>
          </cell>
        </row>
        <row r="134">
          <cell r="C134" t="str">
            <v>Malta</v>
          </cell>
          <cell r="D134">
            <v>387</v>
          </cell>
          <cell r="E134">
            <v>361</v>
          </cell>
          <cell r="F134">
            <v>358</v>
          </cell>
          <cell r="G134">
            <v>345</v>
          </cell>
          <cell r="H134">
            <v>364</v>
          </cell>
          <cell r="I134">
            <v>376</v>
          </cell>
          <cell r="J134">
            <v>380</v>
          </cell>
          <cell r="K134">
            <v>383</v>
          </cell>
          <cell r="L134">
            <v>390</v>
          </cell>
          <cell r="M134">
            <v>382</v>
          </cell>
          <cell r="N134">
            <v>259</v>
          </cell>
          <cell r="O134">
            <v>85</v>
          </cell>
          <cell r="P134">
            <v>50</v>
          </cell>
          <cell r="Q134">
            <v>42</v>
          </cell>
          <cell r="R134">
            <v>36</v>
          </cell>
          <cell r="S134">
            <v>63</v>
          </cell>
          <cell r="T134">
            <v>72</v>
          </cell>
          <cell r="U134">
            <v>102</v>
          </cell>
          <cell r="V134">
            <v>102</v>
          </cell>
          <cell r="W134">
            <v>139</v>
          </cell>
          <cell r="X134">
            <v>153</v>
          </cell>
          <cell r="Y134">
            <v>419</v>
          </cell>
          <cell r="Z134">
            <v>418</v>
          </cell>
          <cell r="AA134">
            <v>433</v>
          </cell>
          <cell r="AB134">
            <v>402</v>
          </cell>
        </row>
        <row r="135">
          <cell r="C135" t="str">
            <v>Marshall Islands</v>
          </cell>
          <cell r="D135">
            <v>58</v>
          </cell>
          <cell r="E135">
            <v>59</v>
          </cell>
          <cell r="F135">
            <v>59</v>
          </cell>
          <cell r="G135">
            <v>57</v>
          </cell>
          <cell r="H135">
            <v>53</v>
          </cell>
          <cell r="I135">
            <v>53</v>
          </cell>
          <cell r="J135">
            <v>52</v>
          </cell>
          <cell r="K135">
            <v>53</v>
          </cell>
          <cell r="L135">
            <v>53</v>
          </cell>
          <cell r="M135">
            <v>61</v>
          </cell>
          <cell r="N135">
            <v>58</v>
          </cell>
          <cell r="O135">
            <v>30</v>
          </cell>
          <cell r="P135">
            <v>15</v>
          </cell>
          <cell r="Q135">
            <v>15</v>
          </cell>
          <cell r="R135">
            <v>27</v>
          </cell>
          <cell r="S135">
            <v>15</v>
          </cell>
          <cell r="T135">
            <v>15</v>
          </cell>
          <cell r="U135">
            <v>9</v>
          </cell>
          <cell r="V135">
            <v>9</v>
          </cell>
          <cell r="W135">
            <v>21</v>
          </cell>
          <cell r="X135">
            <v>9</v>
          </cell>
          <cell r="Y135">
            <v>9</v>
          </cell>
          <cell r="Z135">
            <v>9</v>
          </cell>
          <cell r="AA135">
            <v>21</v>
          </cell>
          <cell r="AB135">
            <v>9</v>
          </cell>
        </row>
        <row r="136">
          <cell r="C136" t="str">
            <v>Martinique</v>
          </cell>
          <cell r="D136">
            <v>211</v>
          </cell>
          <cell r="E136">
            <v>202</v>
          </cell>
          <cell r="F136">
            <v>192</v>
          </cell>
          <cell r="G136">
            <v>194</v>
          </cell>
          <cell r="H136">
            <v>199</v>
          </cell>
          <cell r="I136">
            <v>205</v>
          </cell>
          <cell r="J136">
            <v>209</v>
          </cell>
          <cell r="K136">
            <v>214</v>
          </cell>
          <cell r="L136">
            <v>204</v>
          </cell>
          <cell r="M136">
            <v>198</v>
          </cell>
          <cell r="N136">
            <v>188</v>
          </cell>
          <cell r="O136">
            <v>166</v>
          </cell>
          <cell r="P136">
            <v>98</v>
          </cell>
          <cell r="Q136">
            <v>99</v>
          </cell>
          <cell r="R136">
            <v>99</v>
          </cell>
          <cell r="S136">
            <v>94</v>
          </cell>
          <cell r="T136">
            <v>89</v>
          </cell>
          <cell r="U136">
            <v>124</v>
          </cell>
          <cell r="V136">
            <v>138</v>
          </cell>
          <cell r="W136">
            <v>143</v>
          </cell>
          <cell r="X136">
            <v>141</v>
          </cell>
          <cell r="Y136">
            <v>148</v>
          </cell>
          <cell r="Z136">
            <v>163</v>
          </cell>
          <cell r="AA136">
            <v>180</v>
          </cell>
          <cell r="AB136">
            <v>162</v>
          </cell>
        </row>
        <row r="137">
          <cell r="C137" t="str">
            <v>Mauritania</v>
          </cell>
          <cell r="D137">
            <v>118</v>
          </cell>
          <cell r="E137">
            <v>118</v>
          </cell>
          <cell r="F137">
            <v>118</v>
          </cell>
          <cell r="G137">
            <v>118</v>
          </cell>
          <cell r="H137">
            <v>118</v>
          </cell>
          <cell r="I137">
            <v>118</v>
          </cell>
          <cell r="J137">
            <v>118</v>
          </cell>
          <cell r="K137">
            <v>118</v>
          </cell>
          <cell r="L137">
            <v>118</v>
          </cell>
          <cell r="M137">
            <v>118</v>
          </cell>
          <cell r="N137">
            <v>113</v>
          </cell>
          <cell r="O137">
            <v>54</v>
          </cell>
          <cell r="P137">
            <v>84</v>
          </cell>
          <cell r="Q137">
            <v>77</v>
          </cell>
          <cell r="R137">
            <v>51</v>
          </cell>
          <cell r="S137">
            <v>6</v>
          </cell>
          <cell r="T137">
            <v>38</v>
          </cell>
          <cell r="U137">
            <v>7</v>
          </cell>
          <cell r="V137">
            <v>7</v>
          </cell>
          <cell r="W137">
            <v>7</v>
          </cell>
          <cell r="X137">
            <v>13</v>
          </cell>
          <cell r="Y137">
            <v>108</v>
          </cell>
          <cell r="Z137">
            <v>109</v>
          </cell>
          <cell r="AA137">
            <v>115</v>
          </cell>
          <cell r="AB137">
            <v>96</v>
          </cell>
        </row>
        <row r="138">
          <cell r="C138" t="str">
            <v>Mauritius</v>
          </cell>
          <cell r="D138">
            <v>334</v>
          </cell>
          <cell r="E138">
            <v>285</v>
          </cell>
          <cell r="F138">
            <v>269</v>
          </cell>
          <cell r="G138">
            <v>257</v>
          </cell>
          <cell r="H138">
            <v>249</v>
          </cell>
          <cell r="I138">
            <v>242</v>
          </cell>
          <cell r="J138">
            <v>245</v>
          </cell>
          <cell r="K138">
            <v>247</v>
          </cell>
          <cell r="L138">
            <v>251</v>
          </cell>
          <cell r="M138">
            <v>264</v>
          </cell>
          <cell r="N138">
            <v>254</v>
          </cell>
          <cell r="O138">
            <v>136</v>
          </cell>
          <cell r="P138">
            <v>6</v>
          </cell>
          <cell r="Q138">
            <v>33</v>
          </cell>
          <cell r="R138">
            <v>20</v>
          </cell>
          <cell r="S138">
            <v>1</v>
          </cell>
          <cell r="T138">
            <v>1</v>
          </cell>
          <cell r="U138">
            <v>29</v>
          </cell>
          <cell r="V138">
            <v>85</v>
          </cell>
          <cell r="W138">
            <v>153</v>
          </cell>
          <cell r="X138">
            <v>159</v>
          </cell>
          <cell r="Y138">
            <v>202</v>
          </cell>
          <cell r="Z138">
            <v>203</v>
          </cell>
          <cell r="AA138">
            <v>205</v>
          </cell>
          <cell r="AB138">
            <v>182</v>
          </cell>
        </row>
        <row r="139">
          <cell r="C139" t="str">
            <v>Mayotte</v>
          </cell>
          <cell r="D139">
            <v>80</v>
          </cell>
          <cell r="E139">
            <v>62</v>
          </cell>
          <cell r="F139">
            <v>65</v>
          </cell>
          <cell r="G139">
            <v>58</v>
          </cell>
          <cell r="H139">
            <v>55</v>
          </cell>
          <cell r="I139">
            <v>56</v>
          </cell>
          <cell r="J139">
            <v>59</v>
          </cell>
          <cell r="K139">
            <v>71</v>
          </cell>
          <cell r="L139">
            <v>65</v>
          </cell>
          <cell r="M139">
            <v>71</v>
          </cell>
          <cell r="N139">
            <v>69</v>
          </cell>
          <cell r="O139">
            <v>57</v>
          </cell>
          <cell r="P139">
            <v>49</v>
          </cell>
          <cell r="Q139">
            <v>33</v>
          </cell>
          <cell r="R139">
            <v>33</v>
          </cell>
          <cell r="S139">
            <v>35</v>
          </cell>
          <cell r="T139">
            <v>32</v>
          </cell>
          <cell r="U139">
            <v>31</v>
          </cell>
          <cell r="V139">
            <v>33</v>
          </cell>
          <cell r="W139">
            <v>46</v>
          </cell>
          <cell r="X139">
            <v>49</v>
          </cell>
          <cell r="Y139">
            <v>50</v>
          </cell>
          <cell r="Z139">
            <v>47</v>
          </cell>
          <cell r="AA139">
            <v>52</v>
          </cell>
          <cell r="AB139">
            <v>44</v>
          </cell>
        </row>
        <row r="140">
          <cell r="C140" t="str">
            <v>Mexico</v>
          </cell>
          <cell r="D140">
            <v>13254</v>
          </cell>
          <cell r="E140">
            <v>12999</v>
          </cell>
          <cell r="F140">
            <v>13035</v>
          </cell>
          <cell r="G140">
            <v>12991</v>
          </cell>
          <cell r="H140">
            <v>12935</v>
          </cell>
          <cell r="I140">
            <v>12979</v>
          </cell>
          <cell r="J140">
            <v>13098</v>
          </cell>
          <cell r="K140">
            <v>13160</v>
          </cell>
          <cell r="L140">
            <v>13278</v>
          </cell>
          <cell r="M140">
            <v>13017</v>
          </cell>
          <cell r="N140">
            <v>13057</v>
          </cell>
          <cell r="O140">
            <v>11359</v>
          </cell>
          <cell r="P140">
            <v>8269</v>
          </cell>
          <cell r="Q140">
            <v>6810</v>
          </cell>
          <cell r="R140">
            <v>4645</v>
          </cell>
          <cell r="S140">
            <v>4213</v>
          </cell>
          <cell r="T140">
            <v>3592</v>
          </cell>
          <cell r="U140">
            <v>2253</v>
          </cell>
          <cell r="V140">
            <v>2577</v>
          </cell>
          <cell r="W140">
            <v>2607</v>
          </cell>
          <cell r="X140">
            <v>2613</v>
          </cell>
          <cell r="Y140">
            <v>9211</v>
          </cell>
          <cell r="Z140">
            <v>9541</v>
          </cell>
          <cell r="AA140">
            <v>11241</v>
          </cell>
          <cell r="AB140">
            <v>10099</v>
          </cell>
        </row>
        <row r="141">
          <cell r="C141" t="str">
            <v>Micronesia Federated States of</v>
          </cell>
          <cell r="D141">
            <v>67</v>
          </cell>
          <cell r="E141">
            <v>67</v>
          </cell>
          <cell r="F141">
            <v>67</v>
          </cell>
          <cell r="G141">
            <v>67</v>
          </cell>
          <cell r="H141">
            <v>67</v>
          </cell>
          <cell r="I141">
            <v>67</v>
          </cell>
          <cell r="J141">
            <v>63</v>
          </cell>
          <cell r="K141">
            <v>63</v>
          </cell>
          <cell r="L141">
            <v>63</v>
          </cell>
          <cell r="M141">
            <v>63</v>
          </cell>
          <cell r="N141">
            <v>63</v>
          </cell>
          <cell r="O141">
            <v>24</v>
          </cell>
          <cell r="P141">
            <v>9</v>
          </cell>
          <cell r="R141">
            <v>18</v>
          </cell>
          <cell r="S141">
            <v>0</v>
          </cell>
          <cell r="T141">
            <v>0</v>
          </cell>
          <cell r="U141">
            <v>3</v>
          </cell>
          <cell r="V141">
            <v>1</v>
          </cell>
          <cell r="W141">
            <v>18</v>
          </cell>
          <cell r="Y141">
            <v>4</v>
          </cell>
          <cell r="Z141">
            <v>1</v>
          </cell>
          <cell r="AA141">
            <v>18</v>
          </cell>
          <cell r="AB141">
            <v>1</v>
          </cell>
        </row>
        <row r="142">
          <cell r="C142" t="str">
            <v>Moldova Republic of</v>
          </cell>
          <cell r="D142">
            <v>223</v>
          </cell>
          <cell r="E142">
            <v>191</v>
          </cell>
          <cell r="F142">
            <v>183</v>
          </cell>
          <cell r="G142">
            <v>187</v>
          </cell>
          <cell r="H142">
            <v>185</v>
          </cell>
          <cell r="I142">
            <v>189</v>
          </cell>
          <cell r="J142">
            <v>187</v>
          </cell>
          <cell r="K142">
            <v>178</v>
          </cell>
          <cell r="L142">
            <v>189</v>
          </cell>
          <cell r="M142">
            <v>187</v>
          </cell>
          <cell r="N142">
            <v>165</v>
          </cell>
          <cell r="O142">
            <v>77</v>
          </cell>
          <cell r="P142">
            <v>92</v>
          </cell>
          <cell r="Q142">
            <v>96</v>
          </cell>
          <cell r="R142">
            <v>71</v>
          </cell>
          <cell r="S142">
            <v>1</v>
          </cell>
          <cell r="T142">
            <v>29</v>
          </cell>
          <cell r="U142">
            <v>74</v>
          </cell>
          <cell r="V142">
            <v>112</v>
          </cell>
          <cell r="W142">
            <v>182</v>
          </cell>
          <cell r="X142">
            <v>192</v>
          </cell>
          <cell r="Y142">
            <v>238</v>
          </cell>
          <cell r="Z142">
            <v>248</v>
          </cell>
          <cell r="AA142">
            <v>255</v>
          </cell>
          <cell r="AB142">
            <v>219</v>
          </cell>
        </row>
        <row r="143">
          <cell r="C143" t="str">
            <v>Monaco</v>
          </cell>
          <cell r="D143">
            <v>252</v>
          </cell>
          <cell r="E143">
            <v>266</v>
          </cell>
          <cell r="F143">
            <v>266</v>
          </cell>
          <cell r="G143">
            <v>266</v>
          </cell>
          <cell r="H143">
            <v>276</v>
          </cell>
          <cell r="I143">
            <v>280</v>
          </cell>
          <cell r="J143">
            <v>280</v>
          </cell>
          <cell r="K143">
            <v>288</v>
          </cell>
          <cell r="L143">
            <v>294</v>
          </cell>
          <cell r="M143">
            <v>294</v>
          </cell>
          <cell r="N143">
            <v>294</v>
          </cell>
          <cell r="O143">
            <v>301</v>
          </cell>
          <cell r="P143">
            <v>343</v>
          </cell>
          <cell r="Q143">
            <v>343</v>
          </cell>
          <cell r="R143">
            <v>343</v>
          </cell>
          <cell r="S143">
            <v>343</v>
          </cell>
          <cell r="T143">
            <v>343</v>
          </cell>
          <cell r="U143">
            <v>343</v>
          </cell>
          <cell r="V143">
            <v>343</v>
          </cell>
          <cell r="W143">
            <v>343</v>
          </cell>
          <cell r="X143">
            <v>343</v>
          </cell>
          <cell r="Y143">
            <v>343</v>
          </cell>
          <cell r="Z143">
            <v>343</v>
          </cell>
          <cell r="AA143">
            <v>343</v>
          </cell>
          <cell r="AB143">
            <v>294</v>
          </cell>
        </row>
        <row r="144">
          <cell r="C144" t="str">
            <v>Mongolia</v>
          </cell>
          <cell r="D144">
            <v>97</v>
          </cell>
          <cell r="E144">
            <v>96</v>
          </cell>
          <cell r="F144">
            <v>90</v>
          </cell>
          <cell r="G144">
            <v>87</v>
          </cell>
          <cell r="H144">
            <v>83</v>
          </cell>
          <cell r="I144">
            <v>89</v>
          </cell>
          <cell r="J144">
            <v>85</v>
          </cell>
          <cell r="K144">
            <v>80</v>
          </cell>
          <cell r="L144">
            <v>53</v>
          </cell>
          <cell r="M144">
            <v>64</v>
          </cell>
          <cell r="N144">
            <v>37</v>
          </cell>
          <cell r="O144">
            <v>68</v>
          </cell>
          <cell r="P144">
            <v>64</v>
          </cell>
          <cell r="Q144">
            <v>64</v>
          </cell>
          <cell r="R144">
            <v>64</v>
          </cell>
          <cell r="S144">
            <v>62</v>
          </cell>
          <cell r="T144">
            <v>77</v>
          </cell>
          <cell r="U144">
            <v>0</v>
          </cell>
          <cell r="X144">
            <v>1</v>
          </cell>
          <cell r="Y144">
            <v>71</v>
          </cell>
          <cell r="Z144">
            <v>73</v>
          </cell>
          <cell r="AA144">
            <v>73</v>
          </cell>
          <cell r="AB144">
            <v>59</v>
          </cell>
        </row>
        <row r="145">
          <cell r="C145" t="str">
            <v>Montenegro</v>
          </cell>
          <cell r="D145">
            <v>134</v>
          </cell>
          <cell r="E145">
            <v>125</v>
          </cell>
          <cell r="F145">
            <v>124</v>
          </cell>
          <cell r="G145">
            <v>122</v>
          </cell>
          <cell r="H145">
            <v>120</v>
          </cell>
          <cell r="I145">
            <v>124</v>
          </cell>
          <cell r="J145">
            <v>127</v>
          </cell>
          <cell r="K145">
            <v>128</v>
          </cell>
          <cell r="L145">
            <v>128</v>
          </cell>
          <cell r="M145">
            <v>117</v>
          </cell>
          <cell r="N145">
            <v>113</v>
          </cell>
          <cell r="O145">
            <v>23</v>
          </cell>
          <cell r="P145">
            <v>15</v>
          </cell>
          <cell r="Q145">
            <v>13</v>
          </cell>
          <cell r="R145">
            <v>46</v>
          </cell>
          <cell r="S145">
            <v>45</v>
          </cell>
          <cell r="T145">
            <v>52</v>
          </cell>
          <cell r="U145">
            <v>32</v>
          </cell>
          <cell r="V145">
            <v>80</v>
          </cell>
          <cell r="W145">
            <v>143</v>
          </cell>
          <cell r="X145">
            <v>160</v>
          </cell>
          <cell r="Y145">
            <v>247</v>
          </cell>
          <cell r="Z145">
            <v>291</v>
          </cell>
          <cell r="AA145">
            <v>307</v>
          </cell>
          <cell r="AB145">
            <v>275</v>
          </cell>
        </row>
        <row r="146">
          <cell r="C146" t="str">
            <v>Montserrat, Leeward Islands</v>
          </cell>
          <cell r="D146">
            <v>21</v>
          </cell>
          <cell r="E146">
            <v>21</v>
          </cell>
          <cell r="F146">
            <v>21</v>
          </cell>
          <cell r="G146">
            <v>21</v>
          </cell>
          <cell r="H146">
            <v>21</v>
          </cell>
          <cell r="I146">
            <v>21</v>
          </cell>
          <cell r="J146">
            <v>21</v>
          </cell>
          <cell r="K146">
            <v>23</v>
          </cell>
          <cell r="L146">
            <v>21</v>
          </cell>
          <cell r="M146">
            <v>24</v>
          </cell>
          <cell r="N146">
            <v>24</v>
          </cell>
          <cell r="O146">
            <v>21</v>
          </cell>
          <cell r="P146">
            <v>21</v>
          </cell>
          <cell r="Q146">
            <v>21</v>
          </cell>
          <cell r="R146">
            <v>21</v>
          </cell>
          <cell r="S146">
            <v>21</v>
          </cell>
          <cell r="T146">
            <v>21</v>
          </cell>
          <cell r="U146">
            <v>21</v>
          </cell>
          <cell r="V146">
            <v>21</v>
          </cell>
          <cell r="W146">
            <v>21</v>
          </cell>
          <cell r="X146">
            <v>21</v>
          </cell>
          <cell r="Y146">
            <v>21</v>
          </cell>
          <cell r="Z146">
            <v>21</v>
          </cell>
          <cell r="AA146">
            <v>21</v>
          </cell>
          <cell r="AB146">
            <v>18</v>
          </cell>
        </row>
        <row r="147">
          <cell r="C147" t="str">
            <v>Morocco</v>
          </cell>
          <cell r="D147">
            <v>2199</v>
          </cell>
          <cell r="E147">
            <v>1993</v>
          </cell>
          <cell r="F147">
            <v>1958</v>
          </cell>
          <cell r="G147">
            <v>1965</v>
          </cell>
          <cell r="H147">
            <v>1956</v>
          </cell>
          <cell r="I147">
            <v>2005</v>
          </cell>
          <cell r="J147">
            <v>2045</v>
          </cell>
          <cell r="K147">
            <v>2033</v>
          </cell>
          <cell r="L147">
            <v>2058</v>
          </cell>
          <cell r="M147">
            <v>2017</v>
          </cell>
          <cell r="N147">
            <v>1715</v>
          </cell>
          <cell r="O147">
            <v>473</v>
          </cell>
          <cell r="P147">
            <v>343</v>
          </cell>
          <cell r="Q147">
            <v>332</v>
          </cell>
          <cell r="R147">
            <v>331</v>
          </cell>
          <cell r="S147">
            <v>483</v>
          </cell>
          <cell r="T147">
            <v>487</v>
          </cell>
          <cell r="U147">
            <v>466</v>
          </cell>
          <cell r="V147">
            <v>480</v>
          </cell>
          <cell r="W147">
            <v>639</v>
          </cell>
          <cell r="X147">
            <v>699</v>
          </cell>
          <cell r="Y147">
            <v>2014</v>
          </cell>
          <cell r="Z147">
            <v>2096</v>
          </cell>
          <cell r="AA147">
            <v>2136</v>
          </cell>
          <cell r="AB147">
            <v>1848</v>
          </cell>
        </row>
        <row r="148">
          <cell r="C148" t="str">
            <v>Mozambique</v>
          </cell>
          <cell r="D148">
            <v>539</v>
          </cell>
          <cell r="E148">
            <v>534</v>
          </cell>
          <cell r="F148">
            <v>518</v>
          </cell>
          <cell r="G148">
            <v>535</v>
          </cell>
          <cell r="H148">
            <v>533</v>
          </cell>
          <cell r="I148">
            <v>536</v>
          </cell>
          <cell r="J148">
            <v>543</v>
          </cell>
          <cell r="K148">
            <v>533</v>
          </cell>
          <cell r="L148">
            <v>526</v>
          </cell>
          <cell r="M148">
            <v>514</v>
          </cell>
          <cell r="N148">
            <v>495</v>
          </cell>
          <cell r="O148">
            <v>441</v>
          </cell>
          <cell r="P148">
            <v>288</v>
          </cell>
          <cell r="Q148">
            <v>261</v>
          </cell>
          <cell r="R148">
            <v>246</v>
          </cell>
          <cell r="S148">
            <v>145</v>
          </cell>
          <cell r="T148">
            <v>130</v>
          </cell>
          <cell r="U148">
            <v>144</v>
          </cell>
          <cell r="V148">
            <v>156</v>
          </cell>
          <cell r="W148">
            <v>160</v>
          </cell>
          <cell r="X148">
            <v>213</v>
          </cell>
          <cell r="Y148">
            <v>563</v>
          </cell>
          <cell r="Z148">
            <v>565</v>
          </cell>
          <cell r="AA148">
            <v>566</v>
          </cell>
          <cell r="AB148">
            <v>482</v>
          </cell>
        </row>
        <row r="149">
          <cell r="C149" t="str">
            <v>Myanmar</v>
          </cell>
          <cell r="D149">
            <v>2887</v>
          </cell>
          <cell r="E149">
            <v>2910</v>
          </cell>
          <cell r="F149">
            <v>2858</v>
          </cell>
          <cell r="G149">
            <v>2885</v>
          </cell>
          <cell r="H149">
            <v>2795</v>
          </cell>
          <cell r="I149">
            <v>2731</v>
          </cell>
          <cell r="J149">
            <v>2697</v>
          </cell>
          <cell r="K149">
            <v>2635</v>
          </cell>
          <cell r="L149">
            <v>2611</v>
          </cell>
          <cell r="M149">
            <v>2575</v>
          </cell>
          <cell r="N149">
            <v>2475</v>
          </cell>
          <cell r="O149">
            <v>2377</v>
          </cell>
          <cell r="P149">
            <v>2068</v>
          </cell>
          <cell r="Q149">
            <v>1783</v>
          </cell>
          <cell r="R149">
            <v>1451</v>
          </cell>
          <cell r="S149">
            <v>1835</v>
          </cell>
          <cell r="T149">
            <v>1201</v>
          </cell>
          <cell r="U149">
            <v>371</v>
          </cell>
          <cell r="V149">
            <v>385</v>
          </cell>
          <cell r="W149">
            <v>514</v>
          </cell>
          <cell r="X149">
            <v>527</v>
          </cell>
          <cell r="Y149">
            <v>1204</v>
          </cell>
          <cell r="Z149">
            <v>1210</v>
          </cell>
          <cell r="AA149">
            <v>1216</v>
          </cell>
          <cell r="AB149">
            <v>1033</v>
          </cell>
        </row>
        <row r="150">
          <cell r="C150" t="str">
            <v>Namibia</v>
          </cell>
          <cell r="D150">
            <v>246</v>
          </cell>
          <cell r="E150">
            <v>245</v>
          </cell>
          <cell r="F150">
            <v>243</v>
          </cell>
          <cell r="G150">
            <v>242</v>
          </cell>
          <cell r="H150">
            <v>242</v>
          </cell>
          <cell r="I150">
            <v>234</v>
          </cell>
          <cell r="J150">
            <v>241</v>
          </cell>
          <cell r="K150">
            <v>245</v>
          </cell>
          <cell r="L150">
            <v>248</v>
          </cell>
          <cell r="M150">
            <v>248</v>
          </cell>
          <cell r="N150">
            <v>246</v>
          </cell>
          <cell r="O150">
            <v>189</v>
          </cell>
          <cell r="P150">
            <v>40</v>
          </cell>
          <cell r="Q150">
            <v>34</v>
          </cell>
          <cell r="R150">
            <v>45</v>
          </cell>
          <cell r="S150">
            <v>58</v>
          </cell>
          <cell r="T150">
            <v>58</v>
          </cell>
          <cell r="U150">
            <v>139</v>
          </cell>
          <cell r="V150">
            <v>179</v>
          </cell>
          <cell r="W150">
            <v>195</v>
          </cell>
          <cell r="X150">
            <v>195</v>
          </cell>
          <cell r="Y150">
            <v>227</v>
          </cell>
          <cell r="Z150">
            <v>234</v>
          </cell>
          <cell r="AA150">
            <v>240</v>
          </cell>
          <cell r="AB150">
            <v>207</v>
          </cell>
        </row>
        <row r="151">
          <cell r="C151" t="str">
            <v>Nauru</v>
          </cell>
          <cell r="D151">
            <v>17</v>
          </cell>
          <cell r="E151">
            <v>17</v>
          </cell>
          <cell r="F151">
            <v>14</v>
          </cell>
          <cell r="G151">
            <v>13</v>
          </cell>
          <cell r="H151">
            <v>11</v>
          </cell>
          <cell r="I151">
            <v>13</v>
          </cell>
          <cell r="J151">
            <v>10</v>
          </cell>
          <cell r="K151">
            <v>13</v>
          </cell>
          <cell r="L151">
            <v>13</v>
          </cell>
          <cell r="M151">
            <v>12</v>
          </cell>
          <cell r="N151">
            <v>8</v>
          </cell>
          <cell r="O151">
            <v>3</v>
          </cell>
          <cell r="P151">
            <v>1</v>
          </cell>
          <cell r="R151">
            <v>1</v>
          </cell>
          <cell r="S151">
            <v>0</v>
          </cell>
          <cell r="T151">
            <v>1</v>
          </cell>
          <cell r="U151">
            <v>0</v>
          </cell>
          <cell r="V151">
            <v>1</v>
          </cell>
          <cell r="X151">
            <v>1</v>
          </cell>
          <cell r="Z151">
            <v>1</v>
          </cell>
          <cell r="AB151">
            <v>1</v>
          </cell>
        </row>
        <row r="152">
          <cell r="C152" t="str">
            <v>Nepal</v>
          </cell>
          <cell r="D152">
            <v>1720</v>
          </cell>
          <cell r="E152">
            <v>1718</v>
          </cell>
          <cell r="F152">
            <v>1729</v>
          </cell>
          <cell r="G152">
            <v>1725</v>
          </cell>
          <cell r="H152">
            <v>1717</v>
          </cell>
          <cell r="I152">
            <v>1694</v>
          </cell>
          <cell r="J152">
            <v>1640</v>
          </cell>
          <cell r="K152">
            <v>1647</v>
          </cell>
          <cell r="L152">
            <v>1618</v>
          </cell>
          <cell r="M152">
            <v>1609</v>
          </cell>
          <cell r="N152">
            <v>1659</v>
          </cell>
          <cell r="O152">
            <v>1575</v>
          </cell>
          <cell r="P152">
            <v>1426</v>
          </cell>
          <cell r="Q152">
            <v>1389</v>
          </cell>
          <cell r="R152">
            <v>1409</v>
          </cell>
          <cell r="S152">
            <v>1385</v>
          </cell>
          <cell r="T152">
            <v>1424</v>
          </cell>
          <cell r="U152">
            <v>1384</v>
          </cell>
          <cell r="V152">
            <v>1429</v>
          </cell>
          <cell r="W152">
            <v>1514</v>
          </cell>
          <cell r="X152">
            <v>1527</v>
          </cell>
          <cell r="Y152">
            <v>1598</v>
          </cell>
          <cell r="Z152">
            <v>1593</v>
          </cell>
          <cell r="AA152">
            <v>1593</v>
          </cell>
          <cell r="AB152">
            <v>1375</v>
          </cell>
        </row>
        <row r="153">
          <cell r="C153" t="str">
            <v>Netherlands</v>
          </cell>
          <cell r="D153">
            <v>4765</v>
          </cell>
          <cell r="E153">
            <v>4604</v>
          </cell>
          <cell r="F153">
            <v>4614</v>
          </cell>
          <cell r="G153">
            <v>4653</v>
          </cell>
          <cell r="H153">
            <v>4687</v>
          </cell>
          <cell r="I153">
            <v>4814</v>
          </cell>
          <cell r="J153">
            <v>4955</v>
          </cell>
          <cell r="K153">
            <v>4950</v>
          </cell>
          <cell r="L153">
            <v>4943</v>
          </cell>
          <cell r="M153">
            <v>4792</v>
          </cell>
          <cell r="N153">
            <v>4573</v>
          </cell>
          <cell r="O153">
            <v>3285</v>
          </cell>
          <cell r="P153">
            <v>975</v>
          </cell>
          <cell r="Q153">
            <v>649</v>
          </cell>
          <cell r="R153">
            <v>389</v>
          </cell>
          <cell r="S153">
            <v>376</v>
          </cell>
          <cell r="T153">
            <v>396</v>
          </cell>
          <cell r="U153">
            <v>529</v>
          </cell>
          <cell r="V153">
            <v>690</v>
          </cell>
          <cell r="W153">
            <v>1227</v>
          </cell>
          <cell r="X153">
            <v>1728</v>
          </cell>
          <cell r="Y153">
            <v>2877</v>
          </cell>
          <cell r="Z153">
            <v>2906</v>
          </cell>
          <cell r="AA153">
            <v>2917</v>
          </cell>
          <cell r="AB153">
            <v>2492</v>
          </cell>
        </row>
        <row r="154">
          <cell r="C154" t="str">
            <v>New Caledonia</v>
          </cell>
          <cell r="D154">
            <v>305</v>
          </cell>
          <cell r="E154">
            <v>302</v>
          </cell>
          <cell r="F154">
            <v>302</v>
          </cell>
          <cell r="G154">
            <v>301</v>
          </cell>
          <cell r="H154">
            <v>301</v>
          </cell>
          <cell r="I154">
            <v>300</v>
          </cell>
          <cell r="J154">
            <v>295</v>
          </cell>
          <cell r="K154">
            <v>295</v>
          </cell>
          <cell r="L154">
            <v>295</v>
          </cell>
          <cell r="M154">
            <v>297</v>
          </cell>
          <cell r="N154">
            <v>297</v>
          </cell>
          <cell r="O154">
            <v>291</v>
          </cell>
          <cell r="P154">
            <v>210</v>
          </cell>
          <cell r="Q154">
            <v>205</v>
          </cell>
          <cell r="R154">
            <v>203</v>
          </cell>
          <cell r="S154">
            <v>204</v>
          </cell>
          <cell r="T154">
            <v>204</v>
          </cell>
          <cell r="U154">
            <v>203</v>
          </cell>
          <cell r="V154">
            <v>203</v>
          </cell>
          <cell r="W154">
            <v>203</v>
          </cell>
          <cell r="X154">
            <v>203</v>
          </cell>
          <cell r="Y154">
            <v>235</v>
          </cell>
          <cell r="Z154">
            <v>234</v>
          </cell>
          <cell r="AA154">
            <v>236</v>
          </cell>
          <cell r="AB154">
            <v>196</v>
          </cell>
        </row>
        <row r="155">
          <cell r="C155" t="str">
            <v>New Zealand</v>
          </cell>
          <cell r="D155">
            <v>4040</v>
          </cell>
          <cell r="E155">
            <v>4130</v>
          </cell>
          <cell r="F155">
            <v>4408</v>
          </cell>
          <cell r="G155">
            <v>4469</v>
          </cell>
          <cell r="H155">
            <v>4614</v>
          </cell>
          <cell r="I155">
            <v>4747</v>
          </cell>
          <cell r="J155">
            <v>4723</v>
          </cell>
          <cell r="K155">
            <v>4678</v>
          </cell>
          <cell r="L155">
            <v>4649</v>
          </cell>
          <cell r="M155">
            <v>4599</v>
          </cell>
          <cell r="N155">
            <v>4515</v>
          </cell>
          <cell r="O155">
            <v>4084</v>
          </cell>
          <cell r="P155">
            <v>1975</v>
          </cell>
          <cell r="Q155">
            <v>609</v>
          </cell>
          <cell r="R155">
            <v>580</v>
          </cell>
          <cell r="S155">
            <v>587</v>
          </cell>
          <cell r="T155">
            <v>593</v>
          </cell>
          <cell r="U155">
            <v>262</v>
          </cell>
          <cell r="V155">
            <v>257</v>
          </cell>
          <cell r="W155">
            <v>3114</v>
          </cell>
          <cell r="X155">
            <v>3063</v>
          </cell>
          <cell r="Y155">
            <v>3571</v>
          </cell>
          <cell r="Z155">
            <v>3587</v>
          </cell>
          <cell r="AA155">
            <v>3659</v>
          </cell>
          <cell r="AB155">
            <v>3198</v>
          </cell>
        </row>
        <row r="156">
          <cell r="C156" t="str">
            <v>Nicaragua</v>
          </cell>
          <cell r="D156">
            <v>284</v>
          </cell>
          <cell r="E156">
            <v>284</v>
          </cell>
          <cell r="F156">
            <v>285</v>
          </cell>
          <cell r="G156">
            <v>281</v>
          </cell>
          <cell r="H156">
            <v>285</v>
          </cell>
          <cell r="I156">
            <v>287</v>
          </cell>
          <cell r="J156">
            <v>285</v>
          </cell>
          <cell r="K156">
            <v>287</v>
          </cell>
          <cell r="L156">
            <v>288</v>
          </cell>
          <cell r="M156">
            <v>285</v>
          </cell>
          <cell r="N156">
            <v>281</v>
          </cell>
          <cell r="O156">
            <v>263</v>
          </cell>
          <cell r="P156">
            <v>227</v>
          </cell>
          <cell r="Q156">
            <v>183</v>
          </cell>
          <cell r="R156">
            <v>178</v>
          </cell>
          <cell r="S156">
            <v>169</v>
          </cell>
          <cell r="T156">
            <v>177</v>
          </cell>
          <cell r="U156">
            <v>97</v>
          </cell>
          <cell r="V156">
            <v>97</v>
          </cell>
          <cell r="W156">
            <v>105</v>
          </cell>
          <cell r="X156">
            <v>105</v>
          </cell>
          <cell r="Y156">
            <v>103</v>
          </cell>
          <cell r="Z156">
            <v>112</v>
          </cell>
          <cell r="AA156">
            <v>112</v>
          </cell>
          <cell r="AB156">
            <v>103</v>
          </cell>
        </row>
        <row r="157">
          <cell r="C157" t="str">
            <v>Niger</v>
          </cell>
          <cell r="D157">
            <v>93</v>
          </cell>
          <cell r="E157">
            <v>86</v>
          </cell>
          <cell r="F157">
            <v>82</v>
          </cell>
          <cell r="G157">
            <v>90</v>
          </cell>
          <cell r="H157">
            <v>91</v>
          </cell>
          <cell r="I157">
            <v>92</v>
          </cell>
          <cell r="J157">
            <v>94</v>
          </cell>
          <cell r="K157">
            <v>92</v>
          </cell>
          <cell r="L157">
            <v>94</v>
          </cell>
          <cell r="M157">
            <v>91</v>
          </cell>
          <cell r="N157">
            <v>86</v>
          </cell>
          <cell r="O157">
            <v>43</v>
          </cell>
          <cell r="P157">
            <v>36</v>
          </cell>
          <cell r="Q157">
            <v>41</v>
          </cell>
          <cell r="R157">
            <v>37</v>
          </cell>
          <cell r="S157">
            <v>40</v>
          </cell>
          <cell r="T157">
            <v>43</v>
          </cell>
          <cell r="U157">
            <v>24</v>
          </cell>
          <cell r="V157">
            <v>37</v>
          </cell>
          <cell r="W157">
            <v>48</v>
          </cell>
          <cell r="X157">
            <v>54</v>
          </cell>
          <cell r="Y157">
            <v>60</v>
          </cell>
          <cell r="Z157">
            <v>61</v>
          </cell>
          <cell r="AA157">
            <v>71</v>
          </cell>
          <cell r="AB157">
            <v>62</v>
          </cell>
        </row>
        <row r="158">
          <cell r="C158" t="str">
            <v>Nigeria</v>
          </cell>
          <cell r="D158">
            <v>2022</v>
          </cell>
          <cell r="E158">
            <v>1980</v>
          </cell>
          <cell r="F158">
            <v>1987</v>
          </cell>
          <cell r="G158">
            <v>1975</v>
          </cell>
          <cell r="H158">
            <v>1939</v>
          </cell>
          <cell r="I158">
            <v>1930</v>
          </cell>
          <cell r="J158">
            <v>1926</v>
          </cell>
          <cell r="K158">
            <v>1990</v>
          </cell>
          <cell r="L158">
            <v>1986</v>
          </cell>
          <cell r="M158">
            <v>2039</v>
          </cell>
          <cell r="N158">
            <v>2035</v>
          </cell>
          <cell r="O158">
            <v>1865</v>
          </cell>
          <cell r="P158">
            <v>1373</v>
          </cell>
          <cell r="Q158">
            <v>1482</v>
          </cell>
          <cell r="R158">
            <v>1276</v>
          </cell>
          <cell r="S158">
            <v>993</v>
          </cell>
          <cell r="T158">
            <v>990</v>
          </cell>
          <cell r="U158">
            <v>915</v>
          </cell>
          <cell r="V158">
            <v>989</v>
          </cell>
          <cell r="W158">
            <v>1022</v>
          </cell>
          <cell r="X158">
            <v>1043</v>
          </cell>
          <cell r="Y158">
            <v>1085</v>
          </cell>
          <cell r="Z158">
            <v>1088</v>
          </cell>
          <cell r="AA158">
            <v>1106</v>
          </cell>
          <cell r="AB158">
            <v>948</v>
          </cell>
        </row>
        <row r="159">
          <cell r="C159" t="str">
            <v>Niue</v>
          </cell>
          <cell r="D159">
            <v>2</v>
          </cell>
          <cell r="E159">
            <v>2</v>
          </cell>
          <cell r="F159">
            <v>2</v>
          </cell>
          <cell r="G159">
            <v>2</v>
          </cell>
          <cell r="H159">
            <v>1</v>
          </cell>
          <cell r="I159">
            <v>2</v>
          </cell>
          <cell r="J159">
            <v>2</v>
          </cell>
          <cell r="K159">
            <v>2</v>
          </cell>
          <cell r="L159">
            <v>1</v>
          </cell>
          <cell r="M159">
            <v>2</v>
          </cell>
          <cell r="N159">
            <v>1</v>
          </cell>
          <cell r="O159">
            <v>1</v>
          </cell>
          <cell r="Q159">
            <v>1</v>
          </cell>
          <cell r="R159">
            <v>1</v>
          </cell>
          <cell r="S159">
            <v>1</v>
          </cell>
          <cell r="T159">
            <v>1</v>
          </cell>
          <cell r="U159">
            <v>1</v>
          </cell>
          <cell r="V159">
            <v>1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  <cell r="AB159">
            <v>1</v>
          </cell>
        </row>
        <row r="160">
          <cell r="C160" t="str">
            <v>Norfolk Island</v>
          </cell>
          <cell r="D160">
            <v>6</v>
          </cell>
          <cell r="E160">
            <v>6</v>
          </cell>
          <cell r="F160">
            <v>6</v>
          </cell>
          <cell r="G160">
            <v>6</v>
          </cell>
          <cell r="H160">
            <v>6</v>
          </cell>
          <cell r="I160">
            <v>6</v>
          </cell>
          <cell r="J160">
            <v>6</v>
          </cell>
          <cell r="K160">
            <v>6</v>
          </cell>
          <cell r="L160">
            <v>6</v>
          </cell>
          <cell r="M160">
            <v>6</v>
          </cell>
          <cell r="N160">
            <v>6</v>
          </cell>
          <cell r="O160">
            <v>6</v>
          </cell>
          <cell r="P160">
            <v>3</v>
          </cell>
          <cell r="Q160">
            <v>3</v>
          </cell>
          <cell r="R160">
            <v>3</v>
          </cell>
          <cell r="S160">
            <v>3</v>
          </cell>
          <cell r="T160">
            <v>3</v>
          </cell>
          <cell r="U160">
            <v>3</v>
          </cell>
          <cell r="V160">
            <v>3</v>
          </cell>
          <cell r="W160">
            <v>3</v>
          </cell>
          <cell r="X160">
            <v>3</v>
          </cell>
          <cell r="Y160">
            <v>3</v>
          </cell>
          <cell r="Z160">
            <v>3</v>
          </cell>
          <cell r="AA160">
            <v>3</v>
          </cell>
          <cell r="AB160">
            <v>3</v>
          </cell>
        </row>
        <row r="161">
          <cell r="C161" t="str">
            <v>Northern Mariana Islands</v>
          </cell>
          <cell r="D161">
            <v>87</v>
          </cell>
          <cell r="E161">
            <v>87</v>
          </cell>
          <cell r="F161">
            <v>88</v>
          </cell>
          <cell r="G161">
            <v>89</v>
          </cell>
          <cell r="H161">
            <v>70</v>
          </cell>
          <cell r="I161">
            <v>66</v>
          </cell>
          <cell r="J161">
            <v>64</v>
          </cell>
          <cell r="K161">
            <v>62</v>
          </cell>
          <cell r="L161">
            <v>39</v>
          </cell>
          <cell r="M161">
            <v>37</v>
          </cell>
          <cell r="N161">
            <v>33</v>
          </cell>
          <cell r="O161">
            <v>27</v>
          </cell>
          <cell r="P161">
            <v>17</v>
          </cell>
          <cell r="Q161">
            <v>14</v>
          </cell>
          <cell r="R161">
            <v>14</v>
          </cell>
          <cell r="S161">
            <v>14</v>
          </cell>
          <cell r="T161">
            <v>29</v>
          </cell>
          <cell r="U161">
            <v>31</v>
          </cell>
          <cell r="V161">
            <v>31</v>
          </cell>
          <cell r="W161">
            <v>31</v>
          </cell>
          <cell r="X161">
            <v>31</v>
          </cell>
          <cell r="Y161">
            <v>39</v>
          </cell>
          <cell r="Z161">
            <v>45</v>
          </cell>
          <cell r="AA161">
            <v>45</v>
          </cell>
          <cell r="AB161">
            <v>39</v>
          </cell>
        </row>
        <row r="162">
          <cell r="C162" t="str">
            <v>Norway</v>
          </cell>
          <cell r="D162">
            <v>6988</v>
          </cell>
          <cell r="E162">
            <v>7094</v>
          </cell>
          <cell r="F162">
            <v>7248</v>
          </cell>
          <cell r="G162">
            <v>7307</v>
          </cell>
          <cell r="H162">
            <v>7405</v>
          </cell>
          <cell r="I162">
            <v>7514</v>
          </cell>
          <cell r="J162">
            <v>7277</v>
          </cell>
          <cell r="K162">
            <v>7432</v>
          </cell>
          <cell r="L162">
            <v>7647</v>
          </cell>
          <cell r="M162">
            <v>7689</v>
          </cell>
          <cell r="N162">
            <v>7492</v>
          </cell>
          <cell r="O162">
            <v>4888</v>
          </cell>
          <cell r="P162">
            <v>4487</v>
          </cell>
          <cell r="Q162">
            <v>3311</v>
          </cell>
          <cell r="R162">
            <v>3034</v>
          </cell>
          <cell r="S162">
            <v>2839</v>
          </cell>
          <cell r="T162">
            <v>2670</v>
          </cell>
          <cell r="U162">
            <v>2756</v>
          </cell>
          <cell r="V162">
            <v>4175</v>
          </cell>
          <cell r="W162">
            <v>3990</v>
          </cell>
          <cell r="X162">
            <v>4562</v>
          </cell>
          <cell r="Y162">
            <v>5950</v>
          </cell>
          <cell r="Z162">
            <v>6139</v>
          </cell>
          <cell r="AA162">
            <v>6575</v>
          </cell>
          <cell r="AB162">
            <v>5636</v>
          </cell>
        </row>
        <row r="163">
          <cell r="C163" t="str">
            <v>Oman</v>
          </cell>
          <cell r="D163">
            <v>1317</v>
          </cell>
          <cell r="E163">
            <v>1301</v>
          </cell>
          <cell r="F163">
            <v>1283</v>
          </cell>
          <cell r="G163">
            <v>1288</v>
          </cell>
          <cell r="H163">
            <v>1293</v>
          </cell>
          <cell r="I163">
            <v>1294</v>
          </cell>
          <cell r="J163">
            <v>1316</v>
          </cell>
          <cell r="K163">
            <v>1309</v>
          </cell>
          <cell r="L163">
            <v>1287</v>
          </cell>
          <cell r="M163">
            <v>1257</v>
          </cell>
          <cell r="N163">
            <v>1194</v>
          </cell>
          <cell r="O163">
            <v>936</v>
          </cell>
          <cell r="P163">
            <v>181</v>
          </cell>
          <cell r="Q163">
            <v>146</v>
          </cell>
          <cell r="R163">
            <v>144</v>
          </cell>
          <cell r="S163">
            <v>302</v>
          </cell>
          <cell r="T163">
            <v>574</v>
          </cell>
          <cell r="U163">
            <v>900</v>
          </cell>
          <cell r="V163">
            <v>964</v>
          </cell>
          <cell r="W163">
            <v>1041</v>
          </cell>
          <cell r="X163">
            <v>1069</v>
          </cell>
          <cell r="Y163">
            <v>1118</v>
          </cell>
          <cell r="Z163">
            <v>1121</v>
          </cell>
          <cell r="AA163">
            <v>1125</v>
          </cell>
          <cell r="AB163">
            <v>970</v>
          </cell>
        </row>
        <row r="164">
          <cell r="C164" t="str">
            <v>Pakistan</v>
          </cell>
          <cell r="D164">
            <v>1351</v>
          </cell>
          <cell r="E164">
            <v>1349</v>
          </cell>
          <cell r="F164">
            <v>1362</v>
          </cell>
          <cell r="G164">
            <v>1330</v>
          </cell>
          <cell r="H164">
            <v>1312</v>
          </cell>
          <cell r="I164">
            <v>1319</v>
          </cell>
          <cell r="J164">
            <v>1313</v>
          </cell>
          <cell r="K164">
            <v>1324</v>
          </cell>
          <cell r="L164">
            <v>1343</v>
          </cell>
          <cell r="M164">
            <v>1267</v>
          </cell>
          <cell r="N164">
            <v>1232</v>
          </cell>
          <cell r="O164">
            <v>926</v>
          </cell>
          <cell r="P164">
            <v>901</v>
          </cell>
          <cell r="Q164">
            <v>985</v>
          </cell>
          <cell r="R164">
            <v>899</v>
          </cell>
          <cell r="S164">
            <v>781</v>
          </cell>
          <cell r="T164">
            <v>384</v>
          </cell>
          <cell r="U164">
            <v>335</v>
          </cell>
          <cell r="V164">
            <v>348</v>
          </cell>
          <cell r="W164">
            <v>509</v>
          </cell>
          <cell r="X164">
            <v>880</v>
          </cell>
          <cell r="Y164">
            <v>1053</v>
          </cell>
          <cell r="Z164">
            <v>1057</v>
          </cell>
          <cell r="AA164">
            <v>1057</v>
          </cell>
          <cell r="AB164">
            <v>906</v>
          </cell>
        </row>
        <row r="165">
          <cell r="C165" t="str">
            <v>Palau</v>
          </cell>
          <cell r="D165">
            <v>22</v>
          </cell>
          <cell r="E165">
            <v>22</v>
          </cell>
          <cell r="F165">
            <v>21</v>
          </cell>
          <cell r="G165">
            <v>21</v>
          </cell>
          <cell r="H165">
            <v>18</v>
          </cell>
          <cell r="I165">
            <v>18</v>
          </cell>
          <cell r="J165">
            <v>19</v>
          </cell>
          <cell r="K165">
            <v>20</v>
          </cell>
          <cell r="L165">
            <v>20</v>
          </cell>
          <cell r="M165">
            <v>18</v>
          </cell>
          <cell r="N165">
            <v>16</v>
          </cell>
          <cell r="O165">
            <v>7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W165">
            <v>1</v>
          </cell>
          <cell r="Y165">
            <v>5</v>
          </cell>
          <cell r="Z165">
            <v>7</v>
          </cell>
          <cell r="AA165">
            <v>6</v>
          </cell>
          <cell r="AB165">
            <v>7</v>
          </cell>
        </row>
        <row r="166">
          <cell r="C166" t="str">
            <v>Panama</v>
          </cell>
          <cell r="D166">
            <v>1564</v>
          </cell>
          <cell r="E166">
            <v>1564</v>
          </cell>
          <cell r="F166">
            <v>1553</v>
          </cell>
          <cell r="G166">
            <v>1520</v>
          </cell>
          <cell r="H166">
            <v>1458</v>
          </cell>
          <cell r="I166">
            <v>1510</v>
          </cell>
          <cell r="J166">
            <v>1512</v>
          </cell>
          <cell r="K166">
            <v>1512</v>
          </cell>
          <cell r="L166">
            <v>1523</v>
          </cell>
          <cell r="M166">
            <v>1512</v>
          </cell>
          <cell r="N166">
            <v>1514</v>
          </cell>
          <cell r="O166">
            <v>1398</v>
          </cell>
          <cell r="P166">
            <v>1363</v>
          </cell>
          <cell r="Q166">
            <v>216</v>
          </cell>
          <cell r="R166">
            <v>211</v>
          </cell>
          <cell r="S166">
            <v>208</v>
          </cell>
          <cell r="T166">
            <v>710</v>
          </cell>
          <cell r="U166">
            <v>203</v>
          </cell>
          <cell r="V166">
            <v>207</v>
          </cell>
          <cell r="W166">
            <v>207</v>
          </cell>
          <cell r="X166">
            <v>211</v>
          </cell>
          <cell r="Y166">
            <v>307</v>
          </cell>
          <cell r="Z166">
            <v>398</v>
          </cell>
          <cell r="AA166">
            <v>407</v>
          </cell>
          <cell r="AB166">
            <v>376</v>
          </cell>
        </row>
        <row r="167">
          <cell r="C167" t="str">
            <v>Papua New Guinea</v>
          </cell>
          <cell r="D167">
            <v>1145</v>
          </cell>
          <cell r="E167">
            <v>1163</v>
          </cell>
          <cell r="F167">
            <v>1151</v>
          </cell>
          <cell r="G167">
            <v>1143</v>
          </cell>
          <cell r="H167">
            <v>1149</v>
          </cell>
          <cell r="I167">
            <v>1147</v>
          </cell>
          <cell r="J167">
            <v>1135</v>
          </cell>
          <cell r="K167">
            <v>1136</v>
          </cell>
          <cell r="L167">
            <v>1105</v>
          </cell>
          <cell r="M167">
            <v>1111</v>
          </cell>
          <cell r="N167">
            <v>1105</v>
          </cell>
          <cell r="O167">
            <v>1072</v>
          </cell>
          <cell r="P167">
            <v>1070</v>
          </cell>
          <cell r="Q167">
            <v>955</v>
          </cell>
          <cell r="R167">
            <v>886</v>
          </cell>
          <cell r="S167">
            <v>763</v>
          </cell>
          <cell r="T167">
            <v>915</v>
          </cell>
          <cell r="U167">
            <v>793</v>
          </cell>
          <cell r="V167">
            <v>827</v>
          </cell>
          <cell r="W167">
            <v>1050</v>
          </cell>
          <cell r="X167">
            <v>1050</v>
          </cell>
          <cell r="Y167">
            <v>1093</v>
          </cell>
          <cell r="Z167">
            <v>1093</v>
          </cell>
          <cell r="AA167">
            <v>1113</v>
          </cell>
          <cell r="AB167">
            <v>977</v>
          </cell>
        </row>
        <row r="168">
          <cell r="C168" t="str">
            <v>Paraguay</v>
          </cell>
          <cell r="D168">
            <v>199</v>
          </cell>
          <cell r="E168">
            <v>194</v>
          </cell>
          <cell r="F168">
            <v>193</v>
          </cell>
          <cell r="G168">
            <v>191</v>
          </cell>
          <cell r="H168">
            <v>192</v>
          </cell>
          <cell r="I168">
            <v>193</v>
          </cell>
          <cell r="J168">
            <v>203</v>
          </cell>
          <cell r="K168">
            <v>207</v>
          </cell>
          <cell r="L168">
            <v>212</v>
          </cell>
          <cell r="M168">
            <v>211</v>
          </cell>
          <cell r="N168">
            <v>203</v>
          </cell>
          <cell r="O168">
            <v>142</v>
          </cell>
          <cell r="P168">
            <v>102</v>
          </cell>
          <cell r="Q168">
            <v>81</v>
          </cell>
          <cell r="R168">
            <v>44</v>
          </cell>
          <cell r="S168">
            <v>47</v>
          </cell>
          <cell r="T168">
            <v>35</v>
          </cell>
          <cell r="U168">
            <v>33</v>
          </cell>
          <cell r="V168">
            <v>33</v>
          </cell>
          <cell r="W168">
            <v>73</v>
          </cell>
          <cell r="X168">
            <v>73</v>
          </cell>
          <cell r="Y168">
            <v>118</v>
          </cell>
          <cell r="Z168">
            <v>123</v>
          </cell>
          <cell r="AA168">
            <v>124</v>
          </cell>
          <cell r="AB168">
            <v>111</v>
          </cell>
        </row>
        <row r="169">
          <cell r="C169" t="str">
            <v>Peru</v>
          </cell>
          <cell r="D169">
            <v>2904</v>
          </cell>
          <cell r="E169">
            <v>2912</v>
          </cell>
          <cell r="F169">
            <v>2902</v>
          </cell>
          <cell r="G169">
            <v>2908</v>
          </cell>
          <cell r="H169">
            <v>2907</v>
          </cell>
          <cell r="I169">
            <v>2911</v>
          </cell>
          <cell r="J169">
            <v>2920</v>
          </cell>
          <cell r="K169">
            <v>2923</v>
          </cell>
          <cell r="L169">
            <v>2933</v>
          </cell>
          <cell r="M169">
            <v>2971</v>
          </cell>
          <cell r="N169">
            <v>2919</v>
          </cell>
          <cell r="O169">
            <v>888</v>
          </cell>
          <cell r="P169">
            <v>1213</v>
          </cell>
          <cell r="Q169">
            <v>834</v>
          </cell>
          <cell r="R169">
            <v>472</v>
          </cell>
          <cell r="S169">
            <v>83</v>
          </cell>
          <cell r="T169">
            <v>648</v>
          </cell>
          <cell r="U169">
            <v>295</v>
          </cell>
          <cell r="V169">
            <v>626</v>
          </cell>
          <cell r="W169">
            <v>615</v>
          </cell>
          <cell r="X169">
            <v>629</v>
          </cell>
          <cell r="Y169">
            <v>2548</v>
          </cell>
          <cell r="Z169">
            <v>2598</v>
          </cell>
          <cell r="AA169">
            <v>2617</v>
          </cell>
          <cell r="AB169">
            <v>2240</v>
          </cell>
        </row>
        <row r="170">
          <cell r="C170" t="str">
            <v>Philippines</v>
          </cell>
          <cell r="D170">
            <v>6984</v>
          </cell>
          <cell r="E170">
            <v>6993</v>
          </cell>
          <cell r="F170">
            <v>6994</v>
          </cell>
          <cell r="G170">
            <v>6942</v>
          </cell>
          <cell r="H170">
            <v>6673</v>
          </cell>
          <cell r="I170">
            <v>6439</v>
          </cell>
          <cell r="J170">
            <v>6361</v>
          </cell>
          <cell r="K170">
            <v>6449</v>
          </cell>
          <cell r="L170">
            <v>6414</v>
          </cell>
          <cell r="M170">
            <v>6247</v>
          </cell>
          <cell r="N170">
            <v>6177</v>
          </cell>
          <cell r="O170">
            <v>2656</v>
          </cell>
          <cell r="P170">
            <v>2395</v>
          </cell>
          <cell r="Q170">
            <v>2385</v>
          </cell>
          <cell r="R170">
            <v>388</v>
          </cell>
          <cell r="S170">
            <v>346</v>
          </cell>
          <cell r="T170">
            <v>850</v>
          </cell>
          <cell r="U170">
            <v>567</v>
          </cell>
          <cell r="V170">
            <v>2508</v>
          </cell>
          <cell r="W170">
            <v>5242</v>
          </cell>
          <cell r="X170">
            <v>5374</v>
          </cell>
          <cell r="Y170">
            <v>6571</v>
          </cell>
          <cell r="Z170">
            <v>6608</v>
          </cell>
          <cell r="AA170">
            <v>6613</v>
          </cell>
          <cell r="AB170">
            <v>5702</v>
          </cell>
        </row>
        <row r="171">
          <cell r="C171" t="str">
            <v>Poland</v>
          </cell>
          <cell r="D171">
            <v>3469</v>
          </cell>
          <cell r="E171">
            <v>3381</v>
          </cell>
          <cell r="F171">
            <v>3387</v>
          </cell>
          <cell r="G171">
            <v>3390</v>
          </cell>
          <cell r="H171">
            <v>3410</v>
          </cell>
          <cell r="I171">
            <v>3434</v>
          </cell>
          <cell r="J171">
            <v>3450</v>
          </cell>
          <cell r="K171">
            <v>3461</v>
          </cell>
          <cell r="L171">
            <v>3459</v>
          </cell>
          <cell r="M171">
            <v>3388</v>
          </cell>
          <cell r="N171">
            <v>3161</v>
          </cell>
          <cell r="O171">
            <v>919</v>
          </cell>
          <cell r="P171">
            <v>707</v>
          </cell>
          <cell r="Q171">
            <v>819</v>
          </cell>
          <cell r="R171">
            <v>624</v>
          </cell>
          <cell r="S171">
            <v>72</v>
          </cell>
          <cell r="T171">
            <v>345</v>
          </cell>
          <cell r="U171">
            <v>683</v>
          </cell>
          <cell r="V171">
            <v>819</v>
          </cell>
          <cell r="W171">
            <v>954</v>
          </cell>
          <cell r="X171">
            <v>974</v>
          </cell>
          <cell r="Y171">
            <v>3170</v>
          </cell>
          <cell r="Z171">
            <v>3173</v>
          </cell>
          <cell r="AA171">
            <v>3190</v>
          </cell>
          <cell r="AB171">
            <v>2768</v>
          </cell>
        </row>
        <row r="172">
          <cell r="C172" t="str">
            <v>Portugal</v>
          </cell>
          <cell r="D172">
            <v>3651</v>
          </cell>
          <cell r="E172">
            <v>3327</v>
          </cell>
          <cell r="F172">
            <v>3298</v>
          </cell>
          <cell r="G172">
            <v>3357</v>
          </cell>
          <cell r="H172">
            <v>3443</v>
          </cell>
          <cell r="I172">
            <v>3577</v>
          </cell>
          <cell r="J172">
            <v>3686</v>
          </cell>
          <cell r="K172">
            <v>3701</v>
          </cell>
          <cell r="L172">
            <v>3709</v>
          </cell>
          <cell r="M172">
            <v>3656</v>
          </cell>
          <cell r="N172">
            <v>3440</v>
          </cell>
          <cell r="O172">
            <v>1073</v>
          </cell>
          <cell r="P172">
            <v>644</v>
          </cell>
          <cell r="Q172">
            <v>312</v>
          </cell>
          <cell r="R172">
            <v>244</v>
          </cell>
          <cell r="S172">
            <v>346</v>
          </cell>
          <cell r="T172">
            <v>367</v>
          </cell>
          <cell r="U172">
            <v>204</v>
          </cell>
          <cell r="V172">
            <v>333</v>
          </cell>
          <cell r="W172">
            <v>2373</v>
          </cell>
          <cell r="X172">
            <v>2653</v>
          </cell>
          <cell r="Y172">
            <v>3886</v>
          </cell>
          <cell r="Z172">
            <v>4023</v>
          </cell>
          <cell r="AA172">
            <v>4180</v>
          </cell>
          <cell r="AB172">
            <v>3655</v>
          </cell>
        </row>
        <row r="173">
          <cell r="C173" t="str">
            <v>Puerto Rico</v>
          </cell>
          <cell r="D173">
            <v>1935</v>
          </cell>
          <cell r="E173">
            <v>1879</v>
          </cell>
          <cell r="F173">
            <v>1833</v>
          </cell>
          <cell r="G173">
            <v>1813</v>
          </cell>
          <cell r="H173">
            <v>1834</v>
          </cell>
          <cell r="I173">
            <v>1823</v>
          </cell>
          <cell r="J173">
            <v>1821</v>
          </cell>
          <cell r="K173">
            <v>1838</v>
          </cell>
          <cell r="L173">
            <v>1876</v>
          </cell>
          <cell r="M173">
            <v>1961</v>
          </cell>
          <cell r="N173">
            <v>1953</v>
          </cell>
          <cell r="O173">
            <v>1773</v>
          </cell>
          <cell r="P173">
            <v>1484</v>
          </cell>
          <cell r="Q173">
            <v>1220</v>
          </cell>
          <cell r="R173">
            <v>983</v>
          </cell>
          <cell r="S173">
            <v>919</v>
          </cell>
          <cell r="T173">
            <v>944</v>
          </cell>
          <cell r="U173">
            <v>811</v>
          </cell>
          <cell r="V173">
            <v>821</v>
          </cell>
          <cell r="W173">
            <v>822</v>
          </cell>
          <cell r="X173">
            <v>830</v>
          </cell>
          <cell r="Y173">
            <v>1035</v>
          </cell>
          <cell r="Z173">
            <v>1238</v>
          </cell>
          <cell r="AA173">
            <v>1377</v>
          </cell>
          <cell r="AB173">
            <v>1250</v>
          </cell>
        </row>
        <row r="174">
          <cell r="C174" t="str">
            <v>Qatar</v>
          </cell>
          <cell r="D174">
            <v>2207</v>
          </cell>
          <cell r="E174">
            <v>2197</v>
          </cell>
          <cell r="F174">
            <v>2196</v>
          </cell>
          <cell r="G174">
            <v>2195</v>
          </cell>
          <cell r="H174">
            <v>2197</v>
          </cell>
          <cell r="I174">
            <v>2201</v>
          </cell>
          <cell r="J174">
            <v>2173</v>
          </cell>
          <cell r="K174">
            <v>2175</v>
          </cell>
          <cell r="L174">
            <v>2171</v>
          </cell>
          <cell r="M174">
            <v>2053</v>
          </cell>
          <cell r="N174">
            <v>1827</v>
          </cell>
          <cell r="O174">
            <v>1086</v>
          </cell>
          <cell r="P174">
            <v>676</v>
          </cell>
          <cell r="Q174">
            <v>436</v>
          </cell>
          <cell r="R174">
            <v>435</v>
          </cell>
          <cell r="S174">
            <v>338</v>
          </cell>
          <cell r="T174">
            <v>307</v>
          </cell>
          <cell r="U174">
            <v>310</v>
          </cell>
          <cell r="V174">
            <v>384</v>
          </cell>
          <cell r="W174">
            <v>468</v>
          </cell>
          <cell r="X174">
            <v>499</v>
          </cell>
          <cell r="Y174">
            <v>1922</v>
          </cell>
          <cell r="Z174">
            <v>1943</v>
          </cell>
          <cell r="AA174">
            <v>1952</v>
          </cell>
          <cell r="AB174">
            <v>1670</v>
          </cell>
        </row>
        <row r="175">
          <cell r="C175" t="str">
            <v>Reunion</v>
          </cell>
          <cell r="D175">
            <v>173</v>
          </cell>
          <cell r="E175">
            <v>161</v>
          </cell>
          <cell r="F175">
            <v>157</v>
          </cell>
          <cell r="G175">
            <v>139</v>
          </cell>
          <cell r="H175">
            <v>140</v>
          </cell>
          <cell r="I175">
            <v>128</v>
          </cell>
          <cell r="J175">
            <v>122</v>
          </cell>
          <cell r="K175">
            <v>132</v>
          </cell>
          <cell r="L175">
            <v>135</v>
          </cell>
          <cell r="M175">
            <v>145</v>
          </cell>
          <cell r="N175">
            <v>140</v>
          </cell>
          <cell r="O175">
            <v>74</v>
          </cell>
          <cell r="P175">
            <v>19</v>
          </cell>
          <cell r="Q175">
            <v>4</v>
          </cell>
          <cell r="R175">
            <v>5</v>
          </cell>
          <cell r="S175">
            <v>13</v>
          </cell>
          <cell r="T175">
            <v>7</v>
          </cell>
          <cell r="U175">
            <v>12</v>
          </cell>
          <cell r="V175">
            <v>73</v>
          </cell>
          <cell r="W175">
            <v>108</v>
          </cell>
          <cell r="X175">
            <v>108</v>
          </cell>
          <cell r="Y175">
            <v>110</v>
          </cell>
          <cell r="Z175">
            <v>118</v>
          </cell>
          <cell r="AA175">
            <v>136</v>
          </cell>
          <cell r="AB175">
            <v>123</v>
          </cell>
        </row>
        <row r="176">
          <cell r="C176" t="str">
            <v>Romania</v>
          </cell>
          <cell r="D176">
            <v>1618</v>
          </cell>
          <cell r="E176">
            <v>1579</v>
          </cell>
          <cell r="F176">
            <v>1549</v>
          </cell>
          <cell r="G176">
            <v>1561</v>
          </cell>
          <cell r="H176">
            <v>1568</v>
          </cell>
          <cell r="I176">
            <v>1563</v>
          </cell>
          <cell r="J176">
            <v>1567</v>
          </cell>
          <cell r="K176">
            <v>1571</v>
          </cell>
          <cell r="L176">
            <v>1596</v>
          </cell>
          <cell r="M176">
            <v>1571</v>
          </cell>
          <cell r="N176">
            <v>1460</v>
          </cell>
          <cell r="O176">
            <v>977</v>
          </cell>
          <cell r="P176">
            <v>737</v>
          </cell>
          <cell r="Q176">
            <v>584</v>
          </cell>
          <cell r="R176">
            <v>574</v>
          </cell>
          <cell r="S176">
            <v>203</v>
          </cell>
          <cell r="T176">
            <v>383</v>
          </cell>
          <cell r="U176">
            <v>616</v>
          </cell>
          <cell r="V176">
            <v>724</v>
          </cell>
          <cell r="W176">
            <v>926</v>
          </cell>
          <cell r="X176">
            <v>953</v>
          </cell>
          <cell r="Y176">
            <v>1330</v>
          </cell>
          <cell r="Z176">
            <v>1346</v>
          </cell>
          <cell r="AA176">
            <v>1398</v>
          </cell>
          <cell r="AB176">
            <v>1202</v>
          </cell>
        </row>
        <row r="177">
          <cell r="C177" t="str">
            <v>Russian Federation</v>
          </cell>
          <cell r="D177">
            <v>16031</v>
          </cell>
          <cell r="E177">
            <v>15439</v>
          </cell>
          <cell r="F177">
            <v>15185</v>
          </cell>
          <cell r="G177">
            <v>15073</v>
          </cell>
          <cell r="H177">
            <v>14953</v>
          </cell>
          <cell r="I177">
            <v>14949</v>
          </cell>
          <cell r="J177">
            <v>14991</v>
          </cell>
          <cell r="K177">
            <v>15013</v>
          </cell>
          <cell r="L177">
            <v>15260</v>
          </cell>
          <cell r="M177">
            <v>15253</v>
          </cell>
          <cell r="N177">
            <v>14659</v>
          </cell>
          <cell r="O177">
            <v>12845</v>
          </cell>
          <cell r="P177">
            <v>11469</v>
          </cell>
          <cell r="Q177">
            <v>7588</v>
          </cell>
          <cell r="R177">
            <v>6262</v>
          </cell>
          <cell r="S177">
            <v>5646</v>
          </cell>
          <cell r="T177">
            <v>7186</v>
          </cell>
          <cell r="U177">
            <v>5297</v>
          </cell>
          <cell r="V177">
            <v>6858</v>
          </cell>
          <cell r="W177">
            <v>8020</v>
          </cell>
          <cell r="X177">
            <v>9315</v>
          </cell>
          <cell r="Y177">
            <v>17514</v>
          </cell>
          <cell r="Z177">
            <v>17923</v>
          </cell>
          <cell r="AA177">
            <v>18092</v>
          </cell>
          <cell r="AB177">
            <v>15625</v>
          </cell>
        </row>
        <row r="178">
          <cell r="C178" t="str">
            <v>Rwanda</v>
          </cell>
          <cell r="D178">
            <v>304</v>
          </cell>
          <cell r="E178">
            <v>302</v>
          </cell>
          <cell r="F178">
            <v>298</v>
          </cell>
          <cell r="G178">
            <v>296</v>
          </cell>
          <cell r="H178">
            <v>295</v>
          </cell>
          <cell r="I178">
            <v>295</v>
          </cell>
          <cell r="J178">
            <v>294</v>
          </cell>
          <cell r="K178">
            <v>295</v>
          </cell>
          <cell r="L178">
            <v>294</v>
          </cell>
          <cell r="M178">
            <v>293</v>
          </cell>
          <cell r="N178">
            <v>282</v>
          </cell>
          <cell r="O178">
            <v>44</v>
          </cell>
          <cell r="P178">
            <v>17</v>
          </cell>
          <cell r="Q178">
            <v>14</v>
          </cell>
          <cell r="R178">
            <v>14</v>
          </cell>
          <cell r="S178">
            <v>167</v>
          </cell>
          <cell r="T178">
            <v>25</v>
          </cell>
          <cell r="U178">
            <v>20</v>
          </cell>
          <cell r="V178">
            <v>179</v>
          </cell>
          <cell r="W178">
            <v>242</v>
          </cell>
          <cell r="X178">
            <v>254</v>
          </cell>
          <cell r="Y178">
            <v>274</v>
          </cell>
          <cell r="Z178">
            <v>274</v>
          </cell>
          <cell r="AA178">
            <v>274</v>
          </cell>
          <cell r="AB178">
            <v>237</v>
          </cell>
        </row>
        <row r="179">
          <cell r="C179" t="str">
            <v>Saint Barthelemy</v>
          </cell>
          <cell r="D179">
            <v>423</v>
          </cell>
          <cell r="E179">
            <v>404</v>
          </cell>
          <cell r="F179">
            <v>407</v>
          </cell>
          <cell r="G179">
            <v>403</v>
          </cell>
          <cell r="H179">
            <v>408</v>
          </cell>
          <cell r="I179">
            <v>422</v>
          </cell>
          <cell r="J179">
            <v>443</v>
          </cell>
          <cell r="K179">
            <v>422</v>
          </cell>
          <cell r="L179">
            <v>414</v>
          </cell>
          <cell r="M179">
            <v>413</v>
          </cell>
          <cell r="N179">
            <v>420</v>
          </cell>
          <cell r="O179">
            <v>284</v>
          </cell>
          <cell r="P179">
            <v>296</v>
          </cell>
          <cell r="Q179">
            <v>301</v>
          </cell>
          <cell r="R179">
            <v>260</v>
          </cell>
          <cell r="S179">
            <v>252</v>
          </cell>
          <cell r="T179">
            <v>260</v>
          </cell>
          <cell r="U179">
            <v>258</v>
          </cell>
          <cell r="V179">
            <v>305</v>
          </cell>
          <cell r="W179">
            <v>291</v>
          </cell>
          <cell r="X179">
            <v>290</v>
          </cell>
          <cell r="Y179">
            <v>267</v>
          </cell>
          <cell r="Z179">
            <v>263</v>
          </cell>
          <cell r="AA179">
            <v>263</v>
          </cell>
          <cell r="AB179">
            <v>224</v>
          </cell>
        </row>
        <row r="180">
          <cell r="C180" t="str">
            <v>Saint Helena</v>
          </cell>
          <cell r="D180">
            <v>4</v>
          </cell>
          <cell r="E180">
            <v>4</v>
          </cell>
          <cell r="F180">
            <v>2</v>
          </cell>
          <cell r="G180">
            <v>2</v>
          </cell>
          <cell r="H180">
            <v>4</v>
          </cell>
          <cell r="I180">
            <v>2</v>
          </cell>
          <cell r="J180">
            <v>2</v>
          </cell>
          <cell r="K180">
            <v>2</v>
          </cell>
          <cell r="L180">
            <v>1</v>
          </cell>
          <cell r="M180">
            <v>3</v>
          </cell>
          <cell r="N180">
            <v>1</v>
          </cell>
          <cell r="O180">
            <v>1</v>
          </cell>
          <cell r="R180">
            <v>0</v>
          </cell>
          <cell r="S180">
            <v>1</v>
          </cell>
          <cell r="T180">
            <v>1</v>
          </cell>
          <cell r="U180">
            <v>3</v>
          </cell>
          <cell r="V180">
            <v>1</v>
          </cell>
          <cell r="W180">
            <v>1</v>
          </cell>
          <cell r="X180">
            <v>1</v>
          </cell>
          <cell r="Y180">
            <v>1</v>
          </cell>
          <cell r="Z180">
            <v>3</v>
          </cell>
          <cell r="AA180">
            <v>1</v>
          </cell>
          <cell r="AB180">
            <v>1</v>
          </cell>
        </row>
        <row r="181">
          <cell r="C181" t="str">
            <v>Saint Kitts and Nevis, Leeward Islands</v>
          </cell>
          <cell r="D181">
            <v>118</v>
          </cell>
          <cell r="E181">
            <v>119</v>
          </cell>
          <cell r="F181">
            <v>111</v>
          </cell>
          <cell r="G181">
            <v>111</v>
          </cell>
          <cell r="H181">
            <v>113</v>
          </cell>
          <cell r="I181">
            <v>112</v>
          </cell>
          <cell r="J181">
            <v>112</v>
          </cell>
          <cell r="K181">
            <v>112</v>
          </cell>
          <cell r="L181">
            <v>113</v>
          </cell>
          <cell r="M181">
            <v>112</v>
          </cell>
          <cell r="N181">
            <v>112</v>
          </cell>
          <cell r="O181">
            <v>86</v>
          </cell>
          <cell r="P181">
            <v>57</v>
          </cell>
          <cell r="Q181">
            <v>68</v>
          </cell>
          <cell r="R181">
            <v>30</v>
          </cell>
          <cell r="S181">
            <v>52</v>
          </cell>
          <cell r="T181">
            <v>23</v>
          </cell>
          <cell r="U181">
            <v>22</v>
          </cell>
          <cell r="V181">
            <v>44</v>
          </cell>
          <cell r="W181">
            <v>68</v>
          </cell>
          <cell r="X181">
            <v>68</v>
          </cell>
          <cell r="Y181">
            <v>78</v>
          </cell>
          <cell r="Z181">
            <v>82</v>
          </cell>
          <cell r="AA181">
            <v>82</v>
          </cell>
          <cell r="AB181">
            <v>72</v>
          </cell>
        </row>
        <row r="182">
          <cell r="C182" t="str">
            <v>Saint Lucia</v>
          </cell>
          <cell r="D182">
            <v>128</v>
          </cell>
          <cell r="E182">
            <v>125</v>
          </cell>
          <cell r="F182">
            <v>126</v>
          </cell>
          <cell r="G182">
            <v>123</v>
          </cell>
          <cell r="H182">
            <v>124</v>
          </cell>
          <cell r="I182">
            <v>133</v>
          </cell>
          <cell r="J182">
            <v>139</v>
          </cell>
          <cell r="K182">
            <v>138</v>
          </cell>
          <cell r="L182">
            <v>137</v>
          </cell>
          <cell r="M182">
            <v>134</v>
          </cell>
          <cell r="N182">
            <v>135</v>
          </cell>
          <cell r="O182">
            <v>92</v>
          </cell>
          <cell r="P182">
            <v>51</v>
          </cell>
          <cell r="Q182">
            <v>29</v>
          </cell>
          <cell r="R182">
            <v>15</v>
          </cell>
          <cell r="S182">
            <v>27</v>
          </cell>
          <cell r="T182">
            <v>17</v>
          </cell>
          <cell r="U182">
            <v>18</v>
          </cell>
          <cell r="V182">
            <v>39</v>
          </cell>
          <cell r="W182">
            <v>61</v>
          </cell>
          <cell r="X182">
            <v>68</v>
          </cell>
          <cell r="Y182">
            <v>102</v>
          </cell>
          <cell r="Z182">
            <v>108</v>
          </cell>
          <cell r="AA182">
            <v>111</v>
          </cell>
          <cell r="AB182">
            <v>92</v>
          </cell>
        </row>
        <row r="183">
          <cell r="C183" t="str">
            <v>Saint Martin</v>
          </cell>
          <cell r="D183">
            <v>124</v>
          </cell>
          <cell r="E183">
            <v>118</v>
          </cell>
          <cell r="F183">
            <v>116</v>
          </cell>
          <cell r="G183">
            <v>115</v>
          </cell>
          <cell r="H183">
            <v>115</v>
          </cell>
          <cell r="I183">
            <v>115</v>
          </cell>
          <cell r="J183">
            <v>121</v>
          </cell>
          <cell r="K183">
            <v>120</v>
          </cell>
          <cell r="L183">
            <v>116</v>
          </cell>
          <cell r="M183">
            <v>114</v>
          </cell>
          <cell r="N183">
            <v>107</v>
          </cell>
          <cell r="O183">
            <v>97</v>
          </cell>
          <cell r="P183">
            <v>92</v>
          </cell>
          <cell r="Q183">
            <v>97</v>
          </cell>
          <cell r="R183">
            <v>93</v>
          </cell>
          <cell r="S183">
            <v>87</v>
          </cell>
          <cell r="T183">
            <v>82</v>
          </cell>
          <cell r="U183">
            <v>117</v>
          </cell>
          <cell r="V183">
            <v>131</v>
          </cell>
          <cell r="W183">
            <v>131</v>
          </cell>
          <cell r="X183">
            <v>129</v>
          </cell>
          <cell r="Y183">
            <v>108</v>
          </cell>
          <cell r="Z183">
            <v>108</v>
          </cell>
          <cell r="AA183">
            <v>108</v>
          </cell>
          <cell r="AB183">
            <v>94</v>
          </cell>
        </row>
        <row r="184">
          <cell r="C184" t="str">
            <v>Saint Pierre and Miquelon</v>
          </cell>
          <cell r="D184">
            <v>8</v>
          </cell>
          <cell r="E184">
            <v>8</v>
          </cell>
          <cell r="F184">
            <v>8</v>
          </cell>
          <cell r="G184">
            <v>8</v>
          </cell>
          <cell r="H184">
            <v>8</v>
          </cell>
          <cell r="I184">
            <v>8</v>
          </cell>
          <cell r="J184">
            <v>8</v>
          </cell>
          <cell r="K184">
            <v>8</v>
          </cell>
          <cell r="L184">
            <v>8</v>
          </cell>
          <cell r="M184">
            <v>8</v>
          </cell>
          <cell r="N184">
            <v>8</v>
          </cell>
          <cell r="O184">
            <v>8</v>
          </cell>
          <cell r="P184">
            <v>8</v>
          </cell>
          <cell r="Q184">
            <v>8</v>
          </cell>
          <cell r="R184">
            <v>13</v>
          </cell>
          <cell r="S184">
            <v>8</v>
          </cell>
          <cell r="T184">
            <v>11</v>
          </cell>
          <cell r="U184">
            <v>8</v>
          </cell>
          <cell r="V184">
            <v>9</v>
          </cell>
          <cell r="W184">
            <v>8</v>
          </cell>
          <cell r="X184">
            <v>8</v>
          </cell>
          <cell r="Y184">
            <v>8</v>
          </cell>
          <cell r="Z184">
            <v>9</v>
          </cell>
          <cell r="AA184">
            <v>9</v>
          </cell>
          <cell r="AB184">
            <v>7</v>
          </cell>
        </row>
        <row r="185">
          <cell r="C185" t="str">
            <v>Samoa</v>
          </cell>
          <cell r="D185">
            <v>35</v>
          </cell>
          <cell r="E185">
            <v>36</v>
          </cell>
          <cell r="F185">
            <v>30</v>
          </cell>
          <cell r="G185">
            <v>29</v>
          </cell>
          <cell r="H185">
            <v>28</v>
          </cell>
          <cell r="I185">
            <v>25</v>
          </cell>
          <cell r="J185">
            <v>24</v>
          </cell>
          <cell r="K185">
            <v>24</v>
          </cell>
          <cell r="L185">
            <v>21</v>
          </cell>
          <cell r="M185">
            <v>19</v>
          </cell>
          <cell r="N185">
            <v>19</v>
          </cell>
          <cell r="O185">
            <v>14</v>
          </cell>
          <cell r="P185">
            <v>13</v>
          </cell>
          <cell r="Q185">
            <v>13</v>
          </cell>
          <cell r="R185">
            <v>11</v>
          </cell>
          <cell r="S185">
            <v>12</v>
          </cell>
          <cell r="T185">
            <v>12</v>
          </cell>
          <cell r="U185">
            <v>14</v>
          </cell>
          <cell r="V185">
            <v>14</v>
          </cell>
          <cell r="W185">
            <v>14</v>
          </cell>
          <cell r="X185">
            <v>14</v>
          </cell>
          <cell r="Y185">
            <v>18</v>
          </cell>
          <cell r="Z185">
            <v>18</v>
          </cell>
          <cell r="AA185">
            <v>21</v>
          </cell>
          <cell r="AB185">
            <v>17</v>
          </cell>
        </row>
        <row r="186">
          <cell r="C186" t="str">
            <v>Sao Tome and Principe</v>
          </cell>
          <cell r="D186">
            <v>34</v>
          </cell>
          <cell r="E186">
            <v>32</v>
          </cell>
          <cell r="F186">
            <v>32</v>
          </cell>
          <cell r="G186">
            <v>32</v>
          </cell>
          <cell r="H186">
            <v>32</v>
          </cell>
          <cell r="I186">
            <v>35</v>
          </cell>
          <cell r="J186">
            <v>34</v>
          </cell>
          <cell r="K186">
            <v>36</v>
          </cell>
          <cell r="L186">
            <v>36</v>
          </cell>
          <cell r="M186">
            <v>36</v>
          </cell>
          <cell r="N186">
            <v>36</v>
          </cell>
          <cell r="O186">
            <v>20</v>
          </cell>
          <cell r="P186">
            <v>27</v>
          </cell>
          <cell r="Q186">
            <v>20</v>
          </cell>
          <cell r="R186">
            <v>18</v>
          </cell>
          <cell r="S186">
            <v>22</v>
          </cell>
          <cell r="T186">
            <v>20</v>
          </cell>
          <cell r="U186">
            <v>19</v>
          </cell>
          <cell r="V186">
            <v>19</v>
          </cell>
          <cell r="W186">
            <v>28</v>
          </cell>
          <cell r="X186">
            <v>28</v>
          </cell>
          <cell r="Y186">
            <v>27</v>
          </cell>
          <cell r="Z186">
            <v>28</v>
          </cell>
          <cell r="AA186">
            <v>28</v>
          </cell>
          <cell r="AB186">
            <v>24</v>
          </cell>
        </row>
        <row r="187">
          <cell r="C187" t="str">
            <v>Saudi Arabia</v>
          </cell>
          <cell r="D187">
            <v>6966</v>
          </cell>
          <cell r="E187">
            <v>6969</v>
          </cell>
          <cell r="F187">
            <v>6915</v>
          </cell>
          <cell r="G187">
            <v>6944</v>
          </cell>
          <cell r="H187">
            <v>6877</v>
          </cell>
          <cell r="I187">
            <v>6800</v>
          </cell>
          <cell r="J187">
            <v>6836</v>
          </cell>
          <cell r="K187">
            <v>6820</v>
          </cell>
          <cell r="L187">
            <v>6917</v>
          </cell>
          <cell r="M187">
            <v>6710</v>
          </cell>
          <cell r="N187">
            <v>5743</v>
          </cell>
          <cell r="O187">
            <v>4573</v>
          </cell>
          <cell r="P187">
            <v>4388</v>
          </cell>
          <cell r="Q187">
            <v>4226</v>
          </cell>
          <cell r="R187">
            <v>3992</v>
          </cell>
          <cell r="S187">
            <v>3461</v>
          </cell>
          <cell r="T187">
            <v>2170</v>
          </cell>
          <cell r="U187">
            <v>0</v>
          </cell>
          <cell r="V187">
            <v>872</v>
          </cell>
          <cell r="W187">
            <v>1819</v>
          </cell>
          <cell r="X187">
            <v>2096</v>
          </cell>
          <cell r="Y187">
            <v>3730</v>
          </cell>
          <cell r="Z187">
            <v>3738</v>
          </cell>
          <cell r="AA187">
            <v>3716</v>
          </cell>
          <cell r="AB187">
            <v>3197</v>
          </cell>
        </row>
        <row r="188">
          <cell r="C188" t="str">
            <v>Senegal</v>
          </cell>
          <cell r="D188">
            <v>352</v>
          </cell>
          <cell r="E188">
            <v>346</v>
          </cell>
          <cell r="F188">
            <v>341</v>
          </cell>
          <cell r="G188">
            <v>339</v>
          </cell>
          <cell r="H188">
            <v>330</v>
          </cell>
          <cell r="I188">
            <v>330</v>
          </cell>
          <cell r="J188">
            <v>329</v>
          </cell>
          <cell r="K188">
            <v>329</v>
          </cell>
          <cell r="L188">
            <v>328</v>
          </cell>
          <cell r="M188">
            <v>323</v>
          </cell>
          <cell r="N188">
            <v>326</v>
          </cell>
          <cell r="O188">
            <v>219</v>
          </cell>
          <cell r="P188">
            <v>208</v>
          </cell>
          <cell r="Q188">
            <v>213</v>
          </cell>
          <cell r="R188">
            <v>157</v>
          </cell>
          <cell r="S188">
            <v>145</v>
          </cell>
          <cell r="T188">
            <v>152</v>
          </cell>
          <cell r="U188">
            <v>138</v>
          </cell>
          <cell r="V188">
            <v>153</v>
          </cell>
          <cell r="W188">
            <v>176</v>
          </cell>
          <cell r="X188">
            <v>189</v>
          </cell>
          <cell r="Y188">
            <v>266</v>
          </cell>
          <cell r="Z188">
            <v>269</v>
          </cell>
          <cell r="AA188">
            <v>280</v>
          </cell>
          <cell r="AB188">
            <v>238</v>
          </cell>
        </row>
        <row r="189">
          <cell r="C189" t="str">
            <v>Serbia</v>
          </cell>
          <cell r="D189">
            <v>682</v>
          </cell>
          <cell r="E189">
            <v>638</v>
          </cell>
          <cell r="F189">
            <v>629</v>
          </cell>
          <cell r="G189">
            <v>636</v>
          </cell>
          <cell r="H189">
            <v>638</v>
          </cell>
          <cell r="I189">
            <v>639</v>
          </cell>
          <cell r="J189">
            <v>641</v>
          </cell>
          <cell r="K189">
            <v>644</v>
          </cell>
          <cell r="L189">
            <v>644</v>
          </cell>
          <cell r="M189">
            <v>633</v>
          </cell>
          <cell r="N189">
            <v>588</v>
          </cell>
          <cell r="O189">
            <v>106</v>
          </cell>
          <cell r="P189">
            <v>94</v>
          </cell>
          <cell r="Q189">
            <v>95</v>
          </cell>
          <cell r="R189">
            <v>366</v>
          </cell>
          <cell r="S189">
            <v>312</v>
          </cell>
          <cell r="T189">
            <v>357</v>
          </cell>
          <cell r="U189">
            <v>189</v>
          </cell>
          <cell r="V189">
            <v>443</v>
          </cell>
          <cell r="W189">
            <v>528</v>
          </cell>
          <cell r="X189">
            <v>558</v>
          </cell>
          <cell r="Y189">
            <v>794</v>
          </cell>
          <cell r="Z189">
            <v>854</v>
          </cell>
          <cell r="AA189">
            <v>883</v>
          </cell>
          <cell r="AB189">
            <v>773</v>
          </cell>
        </row>
        <row r="190">
          <cell r="C190" t="str">
            <v>Seychelles</v>
          </cell>
          <cell r="D190">
            <v>494</v>
          </cell>
          <cell r="E190">
            <v>462</v>
          </cell>
          <cell r="F190">
            <v>452</v>
          </cell>
          <cell r="G190">
            <v>470</v>
          </cell>
          <cell r="H190">
            <v>459</v>
          </cell>
          <cell r="I190">
            <v>462</v>
          </cell>
          <cell r="J190">
            <v>479</v>
          </cell>
          <cell r="K190">
            <v>484</v>
          </cell>
          <cell r="L190">
            <v>473</v>
          </cell>
          <cell r="M190">
            <v>423</v>
          </cell>
          <cell r="N190">
            <v>425</v>
          </cell>
          <cell r="O190">
            <v>128</v>
          </cell>
          <cell r="P190">
            <v>31</v>
          </cell>
          <cell r="Q190">
            <v>20</v>
          </cell>
          <cell r="R190">
            <v>0</v>
          </cell>
          <cell r="S190">
            <v>0</v>
          </cell>
          <cell r="T190">
            <v>3</v>
          </cell>
          <cell r="U190">
            <v>26</v>
          </cell>
          <cell r="V190">
            <v>29</v>
          </cell>
          <cell r="W190">
            <v>42</v>
          </cell>
          <cell r="X190">
            <v>113</v>
          </cell>
          <cell r="Y190">
            <v>490</v>
          </cell>
          <cell r="Z190">
            <v>491</v>
          </cell>
          <cell r="AA190">
            <v>490</v>
          </cell>
          <cell r="AB190">
            <v>412</v>
          </cell>
        </row>
        <row r="191">
          <cell r="C191" t="str">
            <v>Sierra Leone</v>
          </cell>
          <cell r="D191">
            <v>75</v>
          </cell>
          <cell r="E191">
            <v>73</v>
          </cell>
          <cell r="F191">
            <v>73</v>
          </cell>
          <cell r="G191">
            <v>73</v>
          </cell>
          <cell r="H191">
            <v>72</v>
          </cell>
          <cell r="I191">
            <v>72</v>
          </cell>
          <cell r="J191">
            <v>72</v>
          </cell>
          <cell r="K191">
            <v>69</v>
          </cell>
          <cell r="L191">
            <v>69</v>
          </cell>
          <cell r="M191">
            <v>69</v>
          </cell>
          <cell r="N191">
            <v>64</v>
          </cell>
          <cell r="O191">
            <v>32</v>
          </cell>
          <cell r="P191">
            <v>8</v>
          </cell>
          <cell r="Q191">
            <v>7</v>
          </cell>
          <cell r="R191">
            <v>3</v>
          </cell>
          <cell r="S191">
            <v>4</v>
          </cell>
          <cell r="T191">
            <v>6</v>
          </cell>
          <cell r="U191">
            <v>4</v>
          </cell>
          <cell r="V191">
            <v>7</v>
          </cell>
          <cell r="W191">
            <v>19</v>
          </cell>
          <cell r="X191">
            <v>23</v>
          </cell>
          <cell r="Y191">
            <v>35</v>
          </cell>
          <cell r="Z191">
            <v>36</v>
          </cell>
          <cell r="AA191">
            <v>42</v>
          </cell>
          <cell r="AB191">
            <v>50</v>
          </cell>
        </row>
        <row r="192">
          <cell r="C192" t="str">
            <v>Singapore</v>
          </cell>
          <cell r="D192">
            <v>3862</v>
          </cell>
          <cell r="E192">
            <v>3871</v>
          </cell>
          <cell r="F192">
            <v>3952</v>
          </cell>
          <cell r="G192">
            <v>3967</v>
          </cell>
          <cell r="H192">
            <v>3704</v>
          </cell>
          <cell r="I192">
            <v>3360</v>
          </cell>
          <cell r="J192">
            <v>3211</v>
          </cell>
          <cell r="K192">
            <v>3035</v>
          </cell>
          <cell r="L192">
            <v>2894</v>
          </cell>
          <cell r="M192">
            <v>2510</v>
          </cell>
          <cell r="N192">
            <v>2399</v>
          </cell>
          <cell r="O192">
            <v>855</v>
          </cell>
          <cell r="P192">
            <v>343</v>
          </cell>
          <cell r="Q192">
            <v>377</v>
          </cell>
          <cell r="R192">
            <v>281</v>
          </cell>
          <cell r="S192">
            <v>109</v>
          </cell>
          <cell r="T192">
            <v>156</v>
          </cell>
          <cell r="U192">
            <v>110</v>
          </cell>
          <cell r="V192">
            <v>421</v>
          </cell>
          <cell r="W192">
            <v>1387</v>
          </cell>
          <cell r="X192">
            <v>1525</v>
          </cell>
          <cell r="Y192">
            <v>3191</v>
          </cell>
          <cell r="Z192">
            <v>3235</v>
          </cell>
          <cell r="AA192">
            <v>3277</v>
          </cell>
          <cell r="AB192">
            <v>2812</v>
          </cell>
        </row>
        <row r="193">
          <cell r="C193" t="str">
            <v>Slovakia</v>
          </cell>
          <cell r="D193">
            <v>136</v>
          </cell>
          <cell r="E193">
            <v>126</v>
          </cell>
          <cell r="F193">
            <v>126</v>
          </cell>
          <cell r="G193">
            <v>125</v>
          </cell>
          <cell r="H193">
            <v>130</v>
          </cell>
          <cell r="I193">
            <v>130</v>
          </cell>
          <cell r="J193">
            <v>130</v>
          </cell>
          <cell r="K193">
            <v>131</v>
          </cell>
          <cell r="L193">
            <v>131</v>
          </cell>
          <cell r="M193">
            <v>129</v>
          </cell>
          <cell r="N193">
            <v>97</v>
          </cell>
          <cell r="O193">
            <v>38</v>
          </cell>
          <cell r="P193">
            <v>32</v>
          </cell>
          <cell r="Q193">
            <v>35</v>
          </cell>
          <cell r="R193">
            <v>35</v>
          </cell>
          <cell r="S193">
            <v>14</v>
          </cell>
          <cell r="T193">
            <v>32</v>
          </cell>
          <cell r="U193">
            <v>90</v>
          </cell>
          <cell r="V193">
            <v>92</v>
          </cell>
          <cell r="W193">
            <v>108</v>
          </cell>
          <cell r="X193">
            <v>110</v>
          </cell>
          <cell r="Y193">
            <v>182</v>
          </cell>
          <cell r="Z193">
            <v>202</v>
          </cell>
          <cell r="AA193">
            <v>207</v>
          </cell>
          <cell r="AB193">
            <v>180</v>
          </cell>
        </row>
        <row r="194">
          <cell r="C194" t="str">
            <v>Slovenia</v>
          </cell>
          <cell r="D194">
            <v>107</v>
          </cell>
          <cell r="E194">
            <v>105</v>
          </cell>
          <cell r="F194">
            <v>106</v>
          </cell>
          <cell r="G194">
            <v>103</v>
          </cell>
          <cell r="H194">
            <v>108</v>
          </cell>
          <cell r="I194">
            <v>115</v>
          </cell>
          <cell r="J194">
            <v>116</v>
          </cell>
          <cell r="K194">
            <v>116</v>
          </cell>
          <cell r="L194">
            <v>115</v>
          </cell>
          <cell r="M194">
            <v>115</v>
          </cell>
          <cell r="N194">
            <v>103</v>
          </cell>
          <cell r="O194">
            <v>14</v>
          </cell>
          <cell r="P194">
            <v>8</v>
          </cell>
          <cell r="Q194">
            <v>4</v>
          </cell>
          <cell r="R194">
            <v>21</v>
          </cell>
          <cell r="S194">
            <v>18</v>
          </cell>
          <cell r="T194">
            <v>19</v>
          </cell>
          <cell r="U194">
            <v>9</v>
          </cell>
          <cell r="V194">
            <v>24</v>
          </cell>
          <cell r="W194">
            <v>52</v>
          </cell>
          <cell r="X194">
            <v>64</v>
          </cell>
          <cell r="Y194">
            <v>140</v>
          </cell>
          <cell r="Z194">
            <v>142</v>
          </cell>
          <cell r="AA194">
            <v>143</v>
          </cell>
          <cell r="AB194">
            <v>120</v>
          </cell>
        </row>
        <row r="195">
          <cell r="C195" t="str">
            <v>Solomon Islands</v>
          </cell>
          <cell r="D195">
            <v>291</v>
          </cell>
          <cell r="E195">
            <v>288</v>
          </cell>
          <cell r="F195">
            <v>274</v>
          </cell>
          <cell r="G195">
            <v>278</v>
          </cell>
          <cell r="H195">
            <v>282</v>
          </cell>
          <cell r="I195">
            <v>280</v>
          </cell>
          <cell r="J195">
            <v>269</v>
          </cell>
          <cell r="K195">
            <v>282</v>
          </cell>
          <cell r="L195">
            <v>281</v>
          </cell>
          <cell r="M195">
            <v>276</v>
          </cell>
          <cell r="N195">
            <v>282</v>
          </cell>
          <cell r="O195">
            <v>276</v>
          </cell>
          <cell r="P195">
            <v>161</v>
          </cell>
          <cell r="Q195">
            <v>160</v>
          </cell>
          <cell r="R195">
            <v>134</v>
          </cell>
          <cell r="S195">
            <v>110</v>
          </cell>
          <cell r="T195">
            <v>109</v>
          </cell>
          <cell r="U195">
            <v>109</v>
          </cell>
          <cell r="V195">
            <v>108</v>
          </cell>
          <cell r="W195">
            <v>107</v>
          </cell>
          <cell r="X195">
            <v>109</v>
          </cell>
          <cell r="Y195">
            <v>117</v>
          </cell>
          <cell r="Z195">
            <v>118</v>
          </cell>
          <cell r="AA195">
            <v>119</v>
          </cell>
          <cell r="AB195">
            <v>119</v>
          </cell>
        </row>
        <row r="196">
          <cell r="C196" t="str">
            <v>Somalia</v>
          </cell>
          <cell r="D196">
            <v>113</v>
          </cell>
          <cell r="E196">
            <v>113</v>
          </cell>
          <cell r="F196">
            <v>115</v>
          </cell>
          <cell r="G196">
            <v>114</v>
          </cell>
          <cell r="H196">
            <v>113</v>
          </cell>
          <cell r="I196">
            <v>113</v>
          </cell>
          <cell r="J196">
            <v>113</v>
          </cell>
          <cell r="K196">
            <v>113</v>
          </cell>
          <cell r="L196">
            <v>110</v>
          </cell>
          <cell r="M196">
            <v>109</v>
          </cell>
          <cell r="N196">
            <v>113</v>
          </cell>
          <cell r="O196">
            <v>80</v>
          </cell>
          <cell r="P196">
            <v>54</v>
          </cell>
          <cell r="Q196">
            <v>56</v>
          </cell>
          <cell r="R196">
            <v>58</v>
          </cell>
          <cell r="S196">
            <v>55</v>
          </cell>
          <cell r="T196">
            <v>75</v>
          </cell>
          <cell r="U196">
            <v>55</v>
          </cell>
          <cell r="V196">
            <v>65</v>
          </cell>
          <cell r="W196">
            <v>97</v>
          </cell>
          <cell r="X196">
            <v>109</v>
          </cell>
          <cell r="Y196">
            <v>131</v>
          </cell>
          <cell r="Z196">
            <v>131</v>
          </cell>
          <cell r="AA196">
            <v>131</v>
          </cell>
          <cell r="AB196">
            <v>109</v>
          </cell>
        </row>
        <row r="197">
          <cell r="C197" t="str">
            <v>South Africa</v>
          </cell>
          <cell r="D197">
            <v>4508</v>
          </cell>
          <cell r="E197">
            <v>4301</v>
          </cell>
          <cell r="F197">
            <v>4121</v>
          </cell>
          <cell r="G197">
            <v>4195</v>
          </cell>
          <cell r="H197">
            <v>4260</v>
          </cell>
          <cell r="I197">
            <v>4241</v>
          </cell>
          <cell r="J197">
            <v>4229</v>
          </cell>
          <cell r="K197">
            <v>4218</v>
          </cell>
          <cell r="L197">
            <v>4088</v>
          </cell>
          <cell r="M197">
            <v>4071</v>
          </cell>
          <cell r="N197">
            <v>4095</v>
          </cell>
          <cell r="O197">
            <v>2931</v>
          </cell>
          <cell r="P197">
            <v>1196</v>
          </cell>
          <cell r="Q197">
            <v>1117</v>
          </cell>
          <cell r="R197">
            <v>923</v>
          </cell>
          <cell r="S197">
            <v>1314</v>
          </cell>
          <cell r="T197">
            <v>1068</v>
          </cell>
          <cell r="U197">
            <v>0</v>
          </cell>
          <cell r="V197">
            <v>1111</v>
          </cell>
          <cell r="W197">
            <v>1201</v>
          </cell>
          <cell r="X197">
            <v>1300</v>
          </cell>
          <cell r="Y197">
            <v>3067</v>
          </cell>
          <cell r="Z197">
            <v>3485</v>
          </cell>
          <cell r="AA197">
            <v>3702</v>
          </cell>
          <cell r="AB197">
            <v>3224</v>
          </cell>
        </row>
        <row r="198">
          <cell r="C198" t="str">
            <v>South Sudan</v>
          </cell>
          <cell r="D198">
            <v>84</v>
          </cell>
          <cell r="E198">
            <v>84</v>
          </cell>
          <cell r="F198">
            <v>84</v>
          </cell>
          <cell r="G198">
            <v>84</v>
          </cell>
          <cell r="H198">
            <v>78</v>
          </cell>
          <cell r="I198">
            <v>78</v>
          </cell>
          <cell r="J198">
            <v>78</v>
          </cell>
          <cell r="K198">
            <v>78</v>
          </cell>
          <cell r="L198">
            <v>78</v>
          </cell>
          <cell r="M198">
            <v>74</v>
          </cell>
          <cell r="N198">
            <v>70</v>
          </cell>
          <cell r="O198">
            <v>51</v>
          </cell>
          <cell r="P198">
            <v>34</v>
          </cell>
          <cell r="Q198">
            <v>33</v>
          </cell>
          <cell r="R198">
            <v>33</v>
          </cell>
          <cell r="S198">
            <v>45</v>
          </cell>
          <cell r="T198">
            <v>42</v>
          </cell>
          <cell r="U198">
            <v>33</v>
          </cell>
          <cell r="V198">
            <v>54</v>
          </cell>
          <cell r="W198">
            <v>82</v>
          </cell>
          <cell r="X198">
            <v>87</v>
          </cell>
          <cell r="Y198">
            <v>89</v>
          </cell>
          <cell r="Z198">
            <v>89</v>
          </cell>
          <cell r="AA198">
            <v>89</v>
          </cell>
          <cell r="AB198">
            <v>80</v>
          </cell>
        </row>
        <row r="199">
          <cell r="C199" t="str">
            <v>Spain</v>
          </cell>
          <cell r="D199">
            <v>14763</v>
          </cell>
          <cell r="E199">
            <v>13842</v>
          </cell>
          <cell r="F199">
            <v>13830</v>
          </cell>
          <cell r="G199">
            <v>13946</v>
          </cell>
          <cell r="H199">
            <v>14260</v>
          </cell>
          <cell r="I199">
            <v>14795</v>
          </cell>
          <cell r="J199">
            <v>15486</v>
          </cell>
          <cell r="K199">
            <v>15604</v>
          </cell>
          <cell r="L199">
            <v>15673</v>
          </cell>
          <cell r="M199">
            <v>15386</v>
          </cell>
          <cell r="N199">
            <v>13647</v>
          </cell>
          <cell r="O199">
            <v>4111</v>
          </cell>
          <cell r="P199">
            <v>2124</v>
          </cell>
          <cell r="Q199">
            <v>1408</v>
          </cell>
          <cell r="R199">
            <v>1100</v>
          </cell>
          <cell r="S199">
            <v>959</v>
          </cell>
          <cell r="T199">
            <v>1132</v>
          </cell>
          <cell r="U199">
            <v>1506</v>
          </cell>
          <cell r="V199">
            <v>1868</v>
          </cell>
          <cell r="W199">
            <v>3904</v>
          </cell>
          <cell r="X199">
            <v>4512</v>
          </cell>
          <cell r="Y199">
            <v>15677</v>
          </cell>
          <cell r="Z199">
            <v>16040</v>
          </cell>
          <cell r="AA199">
            <v>16783</v>
          </cell>
          <cell r="AB199">
            <v>14640</v>
          </cell>
        </row>
        <row r="200">
          <cell r="C200" t="str">
            <v>Sri Lanka</v>
          </cell>
          <cell r="D200">
            <v>955</v>
          </cell>
          <cell r="E200">
            <v>942</v>
          </cell>
          <cell r="F200">
            <v>945</v>
          </cell>
          <cell r="G200">
            <v>945</v>
          </cell>
          <cell r="H200">
            <v>940</v>
          </cell>
          <cell r="I200">
            <v>913</v>
          </cell>
          <cell r="J200">
            <v>907</v>
          </cell>
          <cell r="K200">
            <v>900</v>
          </cell>
          <cell r="L200">
            <v>895</v>
          </cell>
          <cell r="M200">
            <v>891</v>
          </cell>
          <cell r="N200">
            <v>809</v>
          </cell>
          <cell r="O200">
            <v>510</v>
          </cell>
          <cell r="P200">
            <v>455</v>
          </cell>
          <cell r="Q200">
            <v>349</v>
          </cell>
          <cell r="R200">
            <v>327</v>
          </cell>
          <cell r="S200">
            <v>335</v>
          </cell>
          <cell r="T200">
            <v>329</v>
          </cell>
          <cell r="U200">
            <v>342</v>
          </cell>
          <cell r="V200">
            <v>443</v>
          </cell>
          <cell r="W200">
            <v>679</v>
          </cell>
          <cell r="X200">
            <v>688</v>
          </cell>
          <cell r="Y200">
            <v>817</v>
          </cell>
          <cell r="Z200">
            <v>824</v>
          </cell>
          <cell r="AA200">
            <v>827</v>
          </cell>
          <cell r="AB200">
            <v>709</v>
          </cell>
        </row>
        <row r="201">
          <cell r="C201" t="str">
            <v>St Maarten (dutch Part)</v>
          </cell>
          <cell r="D201">
            <v>681</v>
          </cell>
          <cell r="E201">
            <v>664</v>
          </cell>
          <cell r="F201">
            <v>659</v>
          </cell>
          <cell r="G201">
            <v>650</v>
          </cell>
          <cell r="H201">
            <v>652</v>
          </cell>
          <cell r="I201">
            <v>654</v>
          </cell>
          <cell r="J201">
            <v>662</v>
          </cell>
          <cell r="K201">
            <v>662</v>
          </cell>
          <cell r="L201">
            <v>658</v>
          </cell>
          <cell r="M201">
            <v>654</v>
          </cell>
          <cell r="N201">
            <v>659</v>
          </cell>
          <cell r="O201">
            <v>313</v>
          </cell>
          <cell r="P201">
            <v>277</v>
          </cell>
          <cell r="Q201">
            <v>276</v>
          </cell>
          <cell r="R201">
            <v>265</v>
          </cell>
          <cell r="S201">
            <v>268</v>
          </cell>
          <cell r="T201">
            <v>271</v>
          </cell>
          <cell r="U201">
            <v>271</v>
          </cell>
          <cell r="V201">
            <v>358</v>
          </cell>
          <cell r="W201">
            <v>376</v>
          </cell>
          <cell r="X201">
            <v>375</v>
          </cell>
          <cell r="Y201">
            <v>401</v>
          </cell>
          <cell r="Z201">
            <v>416</v>
          </cell>
          <cell r="AA201">
            <v>423</v>
          </cell>
          <cell r="AB201">
            <v>364</v>
          </cell>
        </row>
        <row r="202">
          <cell r="C202" t="str">
            <v>St Vincent and the Grenadines</v>
          </cell>
          <cell r="D202">
            <v>67</v>
          </cell>
          <cell r="E202">
            <v>67</v>
          </cell>
          <cell r="F202">
            <v>67</v>
          </cell>
          <cell r="G202">
            <v>64</v>
          </cell>
          <cell r="H202">
            <v>67</v>
          </cell>
          <cell r="I202">
            <v>67</v>
          </cell>
          <cell r="J202">
            <v>67</v>
          </cell>
          <cell r="K202">
            <v>67</v>
          </cell>
          <cell r="L202">
            <v>67</v>
          </cell>
          <cell r="M202">
            <v>67</v>
          </cell>
          <cell r="N202">
            <v>67</v>
          </cell>
          <cell r="O202">
            <v>39</v>
          </cell>
          <cell r="P202">
            <v>38</v>
          </cell>
          <cell r="Q202">
            <v>33</v>
          </cell>
          <cell r="R202">
            <v>12</v>
          </cell>
          <cell r="S202">
            <v>30</v>
          </cell>
          <cell r="T202">
            <v>4</v>
          </cell>
          <cell r="U202">
            <v>11</v>
          </cell>
          <cell r="V202">
            <v>35</v>
          </cell>
          <cell r="W202">
            <v>63</v>
          </cell>
          <cell r="X202">
            <v>61</v>
          </cell>
          <cell r="Y202">
            <v>55</v>
          </cell>
          <cell r="Z202">
            <v>55</v>
          </cell>
          <cell r="AA202">
            <v>55</v>
          </cell>
          <cell r="AB202">
            <v>48</v>
          </cell>
        </row>
        <row r="203">
          <cell r="C203" t="str">
            <v>Sudan</v>
          </cell>
          <cell r="D203">
            <v>299</v>
          </cell>
          <cell r="E203">
            <v>298</v>
          </cell>
          <cell r="F203">
            <v>299</v>
          </cell>
          <cell r="G203">
            <v>297</v>
          </cell>
          <cell r="H203">
            <v>298</v>
          </cell>
          <cell r="I203">
            <v>295</v>
          </cell>
          <cell r="J203">
            <v>298</v>
          </cell>
          <cell r="K203">
            <v>295</v>
          </cell>
          <cell r="L203">
            <v>291</v>
          </cell>
          <cell r="M203">
            <v>293</v>
          </cell>
          <cell r="N203">
            <v>271</v>
          </cell>
          <cell r="O203">
            <v>209</v>
          </cell>
          <cell r="P203">
            <v>259</v>
          </cell>
          <cell r="Q203">
            <v>257</v>
          </cell>
          <cell r="R203">
            <v>253</v>
          </cell>
          <cell r="S203">
            <v>237</v>
          </cell>
          <cell r="T203">
            <v>238</v>
          </cell>
          <cell r="U203">
            <v>246</v>
          </cell>
          <cell r="V203">
            <v>258</v>
          </cell>
          <cell r="W203">
            <v>284</v>
          </cell>
          <cell r="X203">
            <v>305</v>
          </cell>
          <cell r="Y203">
            <v>323</v>
          </cell>
          <cell r="Z203">
            <v>325</v>
          </cell>
          <cell r="AA203">
            <v>325</v>
          </cell>
          <cell r="AB203">
            <v>285</v>
          </cell>
        </row>
        <row r="204">
          <cell r="C204" t="str">
            <v>Suriname</v>
          </cell>
          <cell r="D204">
            <v>84</v>
          </cell>
          <cell r="E204">
            <v>84</v>
          </cell>
          <cell r="F204">
            <v>89</v>
          </cell>
          <cell r="G204">
            <v>86</v>
          </cell>
          <cell r="H204">
            <v>89</v>
          </cell>
          <cell r="I204">
            <v>88</v>
          </cell>
          <cell r="J204">
            <v>94</v>
          </cell>
          <cell r="K204">
            <v>88</v>
          </cell>
          <cell r="L204">
            <v>94</v>
          </cell>
          <cell r="M204">
            <v>102</v>
          </cell>
          <cell r="N204">
            <v>104</v>
          </cell>
          <cell r="O204">
            <v>87</v>
          </cell>
          <cell r="P204">
            <v>27</v>
          </cell>
          <cell r="Q204">
            <v>20</v>
          </cell>
          <cell r="R204">
            <v>12</v>
          </cell>
          <cell r="S204">
            <v>12</v>
          </cell>
          <cell r="T204">
            <v>13</v>
          </cell>
          <cell r="U204">
            <v>24</v>
          </cell>
          <cell r="V204">
            <v>26</v>
          </cell>
          <cell r="W204">
            <v>26</v>
          </cell>
          <cell r="X204">
            <v>26</v>
          </cell>
          <cell r="Y204">
            <v>28</v>
          </cell>
          <cell r="Z204">
            <v>28</v>
          </cell>
          <cell r="AA204">
            <v>28</v>
          </cell>
          <cell r="AB204">
            <v>24</v>
          </cell>
        </row>
        <row r="205">
          <cell r="C205" t="str">
            <v>Sweden</v>
          </cell>
          <cell r="D205">
            <v>3608</v>
          </cell>
          <cell r="E205">
            <v>3926</v>
          </cell>
          <cell r="F205">
            <v>4054</v>
          </cell>
          <cell r="G205">
            <v>4134</v>
          </cell>
          <cell r="H205">
            <v>4274</v>
          </cell>
          <cell r="I205">
            <v>4232</v>
          </cell>
          <cell r="J205">
            <v>4188</v>
          </cell>
          <cell r="K205">
            <v>4169</v>
          </cell>
          <cell r="L205">
            <v>4445</v>
          </cell>
          <cell r="M205">
            <v>4460</v>
          </cell>
          <cell r="N205">
            <v>4092</v>
          </cell>
          <cell r="O205">
            <v>1647</v>
          </cell>
          <cell r="P205">
            <v>1126</v>
          </cell>
          <cell r="Q205">
            <v>775</v>
          </cell>
          <cell r="R205">
            <v>635</v>
          </cell>
          <cell r="S205">
            <v>457</v>
          </cell>
          <cell r="T205">
            <v>430</v>
          </cell>
          <cell r="U205">
            <v>565</v>
          </cell>
          <cell r="V205">
            <v>1897</v>
          </cell>
          <cell r="W205">
            <v>1798</v>
          </cell>
          <cell r="X205">
            <v>2132</v>
          </cell>
          <cell r="Y205">
            <v>3061</v>
          </cell>
          <cell r="Z205">
            <v>3131</v>
          </cell>
          <cell r="AA205">
            <v>2821</v>
          </cell>
          <cell r="AB205">
            <v>2468</v>
          </cell>
        </row>
        <row r="206">
          <cell r="C206" t="str">
            <v>Switzerland</v>
          </cell>
          <cell r="D206">
            <v>3984</v>
          </cell>
          <cell r="E206">
            <v>3837</v>
          </cell>
          <cell r="F206">
            <v>3846</v>
          </cell>
          <cell r="G206">
            <v>3887</v>
          </cell>
          <cell r="H206">
            <v>3999</v>
          </cell>
          <cell r="I206">
            <v>4092</v>
          </cell>
          <cell r="J206">
            <v>4148</v>
          </cell>
          <cell r="K206">
            <v>4169</v>
          </cell>
          <cell r="L206">
            <v>4199</v>
          </cell>
          <cell r="M206">
            <v>3913</v>
          </cell>
          <cell r="N206">
            <v>3342</v>
          </cell>
          <cell r="O206">
            <v>1464</v>
          </cell>
          <cell r="P206">
            <v>697</v>
          </cell>
          <cell r="Q206">
            <v>274</v>
          </cell>
          <cell r="R206">
            <v>226</v>
          </cell>
          <cell r="S206">
            <v>184</v>
          </cell>
          <cell r="T206">
            <v>177</v>
          </cell>
          <cell r="U206">
            <v>272</v>
          </cell>
          <cell r="V206">
            <v>404</v>
          </cell>
          <cell r="W206">
            <v>1558</v>
          </cell>
          <cell r="X206">
            <v>1651</v>
          </cell>
          <cell r="Y206">
            <v>4176</v>
          </cell>
          <cell r="Z206">
            <v>4215</v>
          </cell>
          <cell r="AA206">
            <v>4266</v>
          </cell>
          <cell r="AB206">
            <v>3670</v>
          </cell>
        </row>
        <row r="207">
          <cell r="C207" t="str">
            <v>Syrian Arab Republic</v>
          </cell>
          <cell r="D207">
            <v>66</v>
          </cell>
          <cell r="E207">
            <v>64</v>
          </cell>
          <cell r="F207">
            <v>62</v>
          </cell>
          <cell r="G207">
            <v>54</v>
          </cell>
          <cell r="H207">
            <v>55</v>
          </cell>
          <cell r="I207">
            <v>57</v>
          </cell>
          <cell r="J207">
            <v>58</v>
          </cell>
          <cell r="K207">
            <v>57</v>
          </cell>
          <cell r="L207">
            <v>53</v>
          </cell>
          <cell r="M207">
            <v>51</v>
          </cell>
          <cell r="N207">
            <v>52</v>
          </cell>
          <cell r="O207">
            <v>30</v>
          </cell>
          <cell r="P207">
            <v>14</v>
          </cell>
          <cell r="Q207">
            <v>16</v>
          </cell>
          <cell r="R207">
            <v>16</v>
          </cell>
          <cell r="S207">
            <v>16</v>
          </cell>
          <cell r="T207">
            <v>16</v>
          </cell>
          <cell r="U207">
            <v>7</v>
          </cell>
          <cell r="V207">
            <v>7</v>
          </cell>
          <cell r="W207">
            <v>7</v>
          </cell>
          <cell r="X207">
            <v>7</v>
          </cell>
          <cell r="Y207">
            <v>15</v>
          </cell>
          <cell r="Z207">
            <v>15</v>
          </cell>
          <cell r="AA207">
            <v>18</v>
          </cell>
          <cell r="AB207">
            <v>20</v>
          </cell>
        </row>
        <row r="208">
          <cell r="C208" t="str">
            <v>Tajikistan</v>
          </cell>
          <cell r="D208">
            <v>164</v>
          </cell>
          <cell r="E208">
            <v>166</v>
          </cell>
          <cell r="F208">
            <v>168</v>
          </cell>
          <cell r="G208">
            <v>166</v>
          </cell>
          <cell r="H208">
            <v>169</v>
          </cell>
          <cell r="I208">
            <v>168</v>
          </cell>
          <cell r="J208">
            <v>170</v>
          </cell>
          <cell r="K208">
            <v>174</v>
          </cell>
          <cell r="L208">
            <v>171</v>
          </cell>
          <cell r="M208">
            <v>171</v>
          </cell>
          <cell r="N208">
            <v>166</v>
          </cell>
          <cell r="O208">
            <v>117</v>
          </cell>
          <cell r="P208">
            <v>51</v>
          </cell>
          <cell r="Q208">
            <v>51</v>
          </cell>
          <cell r="R208">
            <v>51</v>
          </cell>
          <cell r="S208">
            <v>51</v>
          </cell>
          <cell r="T208">
            <v>55</v>
          </cell>
          <cell r="U208">
            <v>56</v>
          </cell>
          <cell r="V208">
            <v>57</v>
          </cell>
          <cell r="W208">
            <v>60</v>
          </cell>
          <cell r="X208">
            <v>69</v>
          </cell>
          <cell r="Y208">
            <v>152</v>
          </cell>
          <cell r="Z208">
            <v>162</v>
          </cell>
          <cell r="AA208">
            <v>162</v>
          </cell>
          <cell r="AB208">
            <v>138</v>
          </cell>
        </row>
        <row r="209">
          <cell r="C209" t="str">
            <v>Tanzania United Republic of</v>
          </cell>
          <cell r="D209">
            <v>3352</v>
          </cell>
          <cell r="E209">
            <v>3346</v>
          </cell>
          <cell r="F209">
            <v>3348</v>
          </cell>
          <cell r="G209">
            <v>3329</v>
          </cell>
          <cell r="H209">
            <v>3296</v>
          </cell>
          <cell r="I209">
            <v>3291</v>
          </cell>
          <cell r="J209">
            <v>3328</v>
          </cell>
          <cell r="K209">
            <v>3327</v>
          </cell>
          <cell r="L209">
            <v>3408</v>
          </cell>
          <cell r="M209">
            <v>3550</v>
          </cell>
          <cell r="N209">
            <v>3487</v>
          </cell>
          <cell r="O209">
            <v>3363</v>
          </cell>
          <cell r="P209">
            <v>2888</v>
          </cell>
          <cell r="Q209">
            <v>2779</v>
          </cell>
          <cell r="R209">
            <v>2780</v>
          </cell>
          <cell r="S209">
            <v>2726</v>
          </cell>
          <cell r="T209">
            <v>2727</v>
          </cell>
          <cell r="U209">
            <v>2276</v>
          </cell>
          <cell r="V209">
            <v>2311</v>
          </cell>
          <cell r="W209">
            <v>2377</v>
          </cell>
          <cell r="X209">
            <v>2426</v>
          </cell>
          <cell r="Y209">
            <v>2683</v>
          </cell>
          <cell r="Z209">
            <v>2684</v>
          </cell>
          <cell r="AA209">
            <v>2704</v>
          </cell>
          <cell r="AB209">
            <v>2340</v>
          </cell>
        </row>
        <row r="210">
          <cell r="C210" t="str">
            <v>Thailand</v>
          </cell>
          <cell r="D210">
            <v>10452</v>
          </cell>
          <cell r="E210">
            <v>10537</v>
          </cell>
          <cell r="F210">
            <v>10634</v>
          </cell>
          <cell r="G210">
            <v>10661</v>
          </cell>
          <cell r="H210">
            <v>10073</v>
          </cell>
          <cell r="I210">
            <v>9766</v>
          </cell>
          <cell r="J210">
            <v>9499</v>
          </cell>
          <cell r="K210">
            <v>9309</v>
          </cell>
          <cell r="L210">
            <v>9107</v>
          </cell>
          <cell r="M210">
            <v>7819</v>
          </cell>
          <cell r="N210">
            <v>7307</v>
          </cell>
          <cell r="O210">
            <v>6104</v>
          </cell>
          <cell r="P210">
            <v>3167</v>
          </cell>
          <cell r="Q210">
            <v>735</v>
          </cell>
          <cell r="R210">
            <v>539</v>
          </cell>
          <cell r="S210">
            <v>480</v>
          </cell>
          <cell r="T210">
            <v>1037</v>
          </cell>
          <cell r="U210">
            <v>923</v>
          </cell>
          <cell r="V210">
            <v>1027</v>
          </cell>
          <cell r="W210">
            <v>1482</v>
          </cell>
          <cell r="X210">
            <v>1516</v>
          </cell>
          <cell r="Y210">
            <v>5482</v>
          </cell>
          <cell r="Z210">
            <v>5514</v>
          </cell>
          <cell r="AA210">
            <v>5615</v>
          </cell>
          <cell r="AB210">
            <v>4830</v>
          </cell>
        </row>
        <row r="211">
          <cell r="C211" t="str">
            <v>Timor-leste</v>
          </cell>
          <cell r="D211">
            <v>27</v>
          </cell>
          <cell r="E211">
            <v>27</v>
          </cell>
          <cell r="F211">
            <v>27</v>
          </cell>
          <cell r="G211">
            <v>26</v>
          </cell>
          <cell r="H211">
            <v>26</v>
          </cell>
          <cell r="I211">
            <v>26</v>
          </cell>
          <cell r="J211">
            <v>26</v>
          </cell>
          <cell r="K211">
            <v>26</v>
          </cell>
          <cell r="L211">
            <v>27</v>
          </cell>
          <cell r="M211">
            <v>30</v>
          </cell>
          <cell r="N211">
            <v>30</v>
          </cell>
          <cell r="O211">
            <v>29</v>
          </cell>
          <cell r="P211">
            <v>15</v>
          </cell>
          <cell r="Q211">
            <v>18</v>
          </cell>
          <cell r="R211">
            <v>14</v>
          </cell>
          <cell r="S211">
            <v>14</v>
          </cell>
          <cell r="T211">
            <v>15</v>
          </cell>
          <cell r="U211">
            <v>16</v>
          </cell>
          <cell r="V211">
            <v>20</v>
          </cell>
          <cell r="W211">
            <v>20</v>
          </cell>
          <cell r="X211">
            <v>20</v>
          </cell>
          <cell r="Y211">
            <v>21</v>
          </cell>
          <cell r="Z211">
            <v>19</v>
          </cell>
          <cell r="AA211">
            <v>19</v>
          </cell>
          <cell r="AB211">
            <v>16</v>
          </cell>
        </row>
        <row r="212">
          <cell r="C212" t="str">
            <v>Togo</v>
          </cell>
          <cell r="D212">
            <v>181</v>
          </cell>
          <cell r="E212">
            <v>183</v>
          </cell>
          <cell r="F212">
            <v>183</v>
          </cell>
          <cell r="G212">
            <v>191</v>
          </cell>
          <cell r="H212">
            <v>187</v>
          </cell>
          <cell r="I212">
            <v>191</v>
          </cell>
          <cell r="J212">
            <v>189</v>
          </cell>
          <cell r="K212">
            <v>191</v>
          </cell>
          <cell r="L212">
            <v>189</v>
          </cell>
          <cell r="M212">
            <v>188</v>
          </cell>
          <cell r="N212">
            <v>187</v>
          </cell>
          <cell r="O212">
            <v>107</v>
          </cell>
          <cell r="P212">
            <v>31</v>
          </cell>
          <cell r="Q212">
            <v>36</v>
          </cell>
          <cell r="R212">
            <v>30</v>
          </cell>
          <cell r="S212">
            <v>25</v>
          </cell>
          <cell r="T212">
            <v>89</v>
          </cell>
          <cell r="U212">
            <v>20</v>
          </cell>
          <cell r="V212">
            <v>80</v>
          </cell>
          <cell r="W212">
            <v>170</v>
          </cell>
          <cell r="X212">
            <v>170</v>
          </cell>
          <cell r="Y212">
            <v>184</v>
          </cell>
          <cell r="Z212">
            <v>187</v>
          </cell>
          <cell r="AA212">
            <v>198</v>
          </cell>
          <cell r="AB212">
            <v>172</v>
          </cell>
        </row>
        <row r="213">
          <cell r="C213" t="str">
            <v>Tonga</v>
          </cell>
          <cell r="D213">
            <v>59</v>
          </cell>
          <cell r="E213">
            <v>64</v>
          </cell>
          <cell r="F213">
            <v>66</v>
          </cell>
          <cell r="G213">
            <v>131</v>
          </cell>
          <cell r="H213">
            <v>129</v>
          </cell>
          <cell r="I213">
            <v>129</v>
          </cell>
          <cell r="J213">
            <v>128</v>
          </cell>
          <cell r="K213">
            <v>128</v>
          </cell>
          <cell r="L213">
            <v>127</v>
          </cell>
          <cell r="M213">
            <v>115</v>
          </cell>
          <cell r="N213">
            <v>115</v>
          </cell>
          <cell r="O213">
            <v>110</v>
          </cell>
          <cell r="P213">
            <v>114</v>
          </cell>
          <cell r="Q213">
            <v>120</v>
          </cell>
          <cell r="R213">
            <v>1</v>
          </cell>
          <cell r="S213">
            <v>1</v>
          </cell>
          <cell r="T213">
            <v>1</v>
          </cell>
          <cell r="U213">
            <v>120</v>
          </cell>
          <cell r="V213">
            <v>120</v>
          </cell>
          <cell r="W213">
            <v>120</v>
          </cell>
          <cell r="X213">
            <v>120</v>
          </cell>
          <cell r="Y213">
            <v>125</v>
          </cell>
          <cell r="Z213">
            <v>125</v>
          </cell>
          <cell r="AA213">
            <v>179</v>
          </cell>
          <cell r="AB213">
            <v>181</v>
          </cell>
        </row>
        <row r="214">
          <cell r="C214" t="str">
            <v>Trinidad and Tobago</v>
          </cell>
          <cell r="D214">
            <v>610</v>
          </cell>
          <cell r="E214">
            <v>562</v>
          </cell>
          <cell r="F214">
            <v>562</v>
          </cell>
          <cell r="G214">
            <v>562</v>
          </cell>
          <cell r="H214">
            <v>575</v>
          </cell>
          <cell r="I214">
            <v>584</v>
          </cell>
          <cell r="J214">
            <v>613</v>
          </cell>
          <cell r="K214">
            <v>628</v>
          </cell>
          <cell r="L214">
            <v>592</v>
          </cell>
          <cell r="M214">
            <v>575</v>
          </cell>
          <cell r="N214">
            <v>576</v>
          </cell>
          <cell r="O214">
            <v>516</v>
          </cell>
          <cell r="P214">
            <v>249</v>
          </cell>
          <cell r="Q214">
            <v>39</v>
          </cell>
          <cell r="R214">
            <v>14</v>
          </cell>
          <cell r="S214">
            <v>14</v>
          </cell>
          <cell r="T214">
            <v>162</v>
          </cell>
          <cell r="U214">
            <v>250</v>
          </cell>
          <cell r="V214">
            <v>449</v>
          </cell>
          <cell r="W214">
            <v>508</v>
          </cell>
          <cell r="X214">
            <v>511</v>
          </cell>
          <cell r="Y214">
            <v>531</v>
          </cell>
          <cell r="Z214">
            <v>547</v>
          </cell>
          <cell r="AA214">
            <v>558</v>
          </cell>
          <cell r="AB214">
            <v>472</v>
          </cell>
        </row>
        <row r="215">
          <cell r="C215" t="str">
            <v>Tunisia</v>
          </cell>
          <cell r="D215">
            <v>688</v>
          </cell>
          <cell r="E215">
            <v>629</v>
          </cell>
          <cell r="F215">
            <v>628</v>
          </cell>
          <cell r="G215">
            <v>639</v>
          </cell>
          <cell r="H215">
            <v>652</v>
          </cell>
          <cell r="I215">
            <v>667</v>
          </cell>
          <cell r="J215">
            <v>688</v>
          </cell>
          <cell r="K215">
            <v>673</v>
          </cell>
          <cell r="L215">
            <v>679</v>
          </cell>
          <cell r="M215">
            <v>673</v>
          </cell>
          <cell r="N215">
            <v>574</v>
          </cell>
          <cell r="O215">
            <v>198</v>
          </cell>
          <cell r="P215">
            <v>274</v>
          </cell>
          <cell r="Q215">
            <v>271</v>
          </cell>
          <cell r="R215">
            <v>102</v>
          </cell>
          <cell r="S215">
            <v>372</v>
          </cell>
          <cell r="T215">
            <v>60</v>
          </cell>
          <cell r="U215">
            <v>267</v>
          </cell>
          <cell r="V215">
            <v>399</v>
          </cell>
          <cell r="W215">
            <v>451</v>
          </cell>
          <cell r="X215">
            <v>496</v>
          </cell>
          <cell r="Y215">
            <v>655</v>
          </cell>
          <cell r="Z215">
            <v>696</v>
          </cell>
          <cell r="AA215">
            <v>734</v>
          </cell>
          <cell r="AB215">
            <v>637</v>
          </cell>
        </row>
        <row r="216">
          <cell r="C216" t="str">
            <v>Turkey</v>
          </cell>
          <cell r="D216">
            <v>10233</v>
          </cell>
          <cell r="E216">
            <v>10331</v>
          </cell>
          <cell r="F216">
            <v>10333</v>
          </cell>
          <cell r="G216">
            <v>10333</v>
          </cell>
          <cell r="H216">
            <v>10155</v>
          </cell>
          <cell r="I216">
            <v>10087</v>
          </cell>
          <cell r="J216">
            <v>10168</v>
          </cell>
          <cell r="K216">
            <v>10076</v>
          </cell>
          <cell r="L216">
            <v>10014</v>
          </cell>
          <cell r="M216">
            <v>9621</v>
          </cell>
          <cell r="N216">
            <v>8900</v>
          </cell>
          <cell r="O216">
            <v>4616</v>
          </cell>
          <cell r="P216">
            <v>3024</v>
          </cell>
          <cell r="Q216">
            <v>1929</v>
          </cell>
          <cell r="R216">
            <v>311</v>
          </cell>
          <cell r="S216">
            <v>308</v>
          </cell>
          <cell r="T216">
            <v>1843</v>
          </cell>
          <cell r="U216">
            <v>310</v>
          </cell>
          <cell r="V216">
            <v>388</v>
          </cell>
          <cell r="W216">
            <v>647</v>
          </cell>
          <cell r="X216">
            <v>5440</v>
          </cell>
          <cell r="Y216">
            <v>12495</v>
          </cell>
          <cell r="Z216">
            <v>12891</v>
          </cell>
          <cell r="AA216">
            <v>13224</v>
          </cell>
          <cell r="AB216">
            <v>11516</v>
          </cell>
        </row>
        <row r="217">
          <cell r="C217" t="str">
            <v>Turkmenistan</v>
          </cell>
          <cell r="D217">
            <v>308</v>
          </cell>
          <cell r="E217">
            <v>304</v>
          </cell>
          <cell r="F217">
            <v>303</v>
          </cell>
          <cell r="G217">
            <v>303</v>
          </cell>
          <cell r="H217">
            <v>305</v>
          </cell>
          <cell r="I217">
            <v>299</v>
          </cell>
          <cell r="J217">
            <v>294</v>
          </cell>
          <cell r="K217">
            <v>293</v>
          </cell>
          <cell r="L217">
            <v>282</v>
          </cell>
          <cell r="M217">
            <v>278</v>
          </cell>
          <cell r="N217">
            <v>263</v>
          </cell>
          <cell r="O217">
            <v>236</v>
          </cell>
          <cell r="P217">
            <v>208</v>
          </cell>
          <cell r="Q217">
            <v>172</v>
          </cell>
          <cell r="R217">
            <v>172</v>
          </cell>
          <cell r="S217">
            <v>172</v>
          </cell>
          <cell r="T217">
            <v>172</v>
          </cell>
          <cell r="U217">
            <v>172</v>
          </cell>
          <cell r="V217">
            <v>172</v>
          </cell>
          <cell r="W217">
            <v>195</v>
          </cell>
          <cell r="X217">
            <v>210</v>
          </cell>
          <cell r="Y217">
            <v>298</v>
          </cell>
          <cell r="Z217">
            <v>303</v>
          </cell>
          <cell r="AA217">
            <v>304</v>
          </cell>
          <cell r="AB217">
            <v>254</v>
          </cell>
        </row>
        <row r="218">
          <cell r="C218" t="str">
            <v>Turks and Caicos Islands</v>
          </cell>
          <cell r="D218">
            <v>325</v>
          </cell>
          <cell r="E218">
            <v>320</v>
          </cell>
          <cell r="F218">
            <v>322</v>
          </cell>
          <cell r="G218">
            <v>329</v>
          </cell>
          <cell r="H218">
            <v>323</v>
          </cell>
          <cell r="I218">
            <v>362</v>
          </cell>
          <cell r="J218">
            <v>362</v>
          </cell>
          <cell r="K218">
            <v>359</v>
          </cell>
          <cell r="L218">
            <v>371</v>
          </cell>
          <cell r="M218">
            <v>361</v>
          </cell>
          <cell r="N218">
            <v>370</v>
          </cell>
          <cell r="O218">
            <v>354</v>
          </cell>
          <cell r="P218">
            <v>290</v>
          </cell>
          <cell r="Q218">
            <v>243</v>
          </cell>
          <cell r="R218">
            <v>236</v>
          </cell>
          <cell r="S218">
            <v>235</v>
          </cell>
          <cell r="T218">
            <v>239</v>
          </cell>
          <cell r="U218">
            <v>236</v>
          </cell>
          <cell r="V218">
            <v>234</v>
          </cell>
          <cell r="W218">
            <v>233</v>
          </cell>
          <cell r="X218">
            <v>233</v>
          </cell>
          <cell r="Y218">
            <v>261</v>
          </cell>
          <cell r="Z218">
            <v>271</v>
          </cell>
          <cell r="AA218">
            <v>278</v>
          </cell>
          <cell r="AB218">
            <v>239</v>
          </cell>
        </row>
        <row r="219">
          <cell r="C219" t="str">
            <v>Tuvalu</v>
          </cell>
          <cell r="D219">
            <v>4</v>
          </cell>
          <cell r="E219">
            <v>4</v>
          </cell>
          <cell r="F219">
            <v>5</v>
          </cell>
          <cell r="G219">
            <v>4</v>
          </cell>
          <cell r="H219">
            <v>4</v>
          </cell>
          <cell r="I219">
            <v>4</v>
          </cell>
          <cell r="J219">
            <v>4</v>
          </cell>
          <cell r="K219">
            <v>4</v>
          </cell>
          <cell r="L219">
            <v>4</v>
          </cell>
          <cell r="M219">
            <v>4</v>
          </cell>
          <cell r="N219">
            <v>4</v>
          </cell>
          <cell r="O219">
            <v>2</v>
          </cell>
          <cell r="P219">
            <v>1</v>
          </cell>
          <cell r="Q219">
            <v>1</v>
          </cell>
          <cell r="R219">
            <v>1</v>
          </cell>
          <cell r="S219">
            <v>1</v>
          </cell>
          <cell r="T219">
            <v>1</v>
          </cell>
          <cell r="U219">
            <v>1</v>
          </cell>
          <cell r="V219">
            <v>1</v>
          </cell>
          <cell r="W219">
            <v>1</v>
          </cell>
          <cell r="X219">
            <v>1</v>
          </cell>
          <cell r="Y219">
            <v>4</v>
          </cell>
          <cell r="Z219">
            <v>4</v>
          </cell>
          <cell r="AA219">
            <v>4</v>
          </cell>
          <cell r="AB219">
            <v>4</v>
          </cell>
        </row>
        <row r="220">
          <cell r="C220" t="str">
            <v>Uganda</v>
          </cell>
          <cell r="D220">
            <v>532</v>
          </cell>
          <cell r="E220">
            <v>527</v>
          </cell>
          <cell r="F220">
            <v>527</v>
          </cell>
          <cell r="G220">
            <v>527</v>
          </cell>
          <cell r="H220">
            <v>522</v>
          </cell>
          <cell r="I220">
            <v>519</v>
          </cell>
          <cell r="J220">
            <v>516</v>
          </cell>
          <cell r="K220">
            <v>500</v>
          </cell>
          <cell r="L220">
            <v>371</v>
          </cell>
          <cell r="M220">
            <v>363</v>
          </cell>
          <cell r="N220">
            <v>362</v>
          </cell>
          <cell r="O220">
            <v>268</v>
          </cell>
          <cell r="P220">
            <v>182</v>
          </cell>
          <cell r="Q220">
            <v>168</v>
          </cell>
          <cell r="R220">
            <v>164</v>
          </cell>
          <cell r="S220">
            <v>194</v>
          </cell>
          <cell r="T220">
            <v>91</v>
          </cell>
          <cell r="U220">
            <v>76</v>
          </cell>
          <cell r="V220">
            <v>128</v>
          </cell>
          <cell r="W220">
            <v>188</v>
          </cell>
          <cell r="X220">
            <v>215</v>
          </cell>
          <cell r="Y220">
            <v>352</v>
          </cell>
          <cell r="Z220">
            <v>348</v>
          </cell>
          <cell r="AA220">
            <v>346</v>
          </cell>
          <cell r="AB220">
            <v>295</v>
          </cell>
        </row>
        <row r="221">
          <cell r="C221" t="str">
            <v>Ukraine</v>
          </cell>
          <cell r="D221">
            <v>1521</v>
          </cell>
          <cell r="E221">
            <v>1425</v>
          </cell>
          <cell r="F221">
            <v>1391</v>
          </cell>
          <cell r="G221">
            <v>1380</v>
          </cell>
          <cell r="H221">
            <v>1399</v>
          </cell>
          <cell r="I221">
            <v>1392</v>
          </cell>
          <cell r="J221">
            <v>1384</v>
          </cell>
          <cell r="K221">
            <v>1379</v>
          </cell>
          <cell r="L221">
            <v>1389</v>
          </cell>
          <cell r="M221">
            <v>1380</v>
          </cell>
          <cell r="N221">
            <v>1224</v>
          </cell>
          <cell r="O221">
            <v>471</v>
          </cell>
          <cell r="P221">
            <v>540</v>
          </cell>
          <cell r="Q221">
            <v>419</v>
          </cell>
          <cell r="R221">
            <v>421</v>
          </cell>
          <cell r="S221">
            <v>313</v>
          </cell>
          <cell r="T221">
            <v>464</v>
          </cell>
          <cell r="U221">
            <v>524</v>
          </cell>
          <cell r="V221">
            <v>978</v>
          </cell>
          <cell r="W221">
            <v>1170</v>
          </cell>
          <cell r="X221">
            <v>1416</v>
          </cell>
          <cell r="Y221">
            <v>2105</v>
          </cell>
          <cell r="Z221">
            <v>2165</v>
          </cell>
          <cell r="AA221">
            <v>2214</v>
          </cell>
          <cell r="AB221">
            <v>1898</v>
          </cell>
        </row>
        <row r="222">
          <cell r="C222" t="str">
            <v>United Arab Emirates</v>
          </cell>
          <cell r="D222">
            <v>5921</v>
          </cell>
          <cell r="E222">
            <v>5837</v>
          </cell>
          <cell r="F222">
            <v>5768</v>
          </cell>
          <cell r="G222">
            <v>5745</v>
          </cell>
          <cell r="H222">
            <v>5723</v>
          </cell>
          <cell r="I222">
            <v>5629</v>
          </cell>
          <cell r="J222">
            <v>5649</v>
          </cell>
          <cell r="K222">
            <v>5663</v>
          </cell>
          <cell r="L222">
            <v>5677</v>
          </cell>
          <cell r="M222">
            <v>5354</v>
          </cell>
          <cell r="N222">
            <v>4426</v>
          </cell>
          <cell r="O222">
            <v>2420</v>
          </cell>
          <cell r="P222">
            <v>808</v>
          </cell>
          <cell r="Q222">
            <v>883</v>
          </cell>
          <cell r="R222">
            <v>1098</v>
          </cell>
          <cell r="S222">
            <v>1019</v>
          </cell>
          <cell r="T222">
            <v>925</v>
          </cell>
          <cell r="U222">
            <v>1068</v>
          </cell>
          <cell r="V222">
            <v>1398</v>
          </cell>
          <cell r="W222">
            <v>2112</v>
          </cell>
          <cell r="X222">
            <v>2502</v>
          </cell>
          <cell r="Y222">
            <v>3479</v>
          </cell>
          <cell r="Z222">
            <v>3494</v>
          </cell>
          <cell r="AA222">
            <v>3506</v>
          </cell>
          <cell r="AB222">
            <v>3249</v>
          </cell>
        </row>
        <row r="223">
          <cell r="C223" t="str">
            <v>United Kingdom</v>
          </cell>
          <cell r="D223">
            <v>17617</v>
          </cell>
          <cell r="E223">
            <v>16980</v>
          </cell>
          <cell r="F223">
            <v>17089</v>
          </cell>
          <cell r="G223">
            <v>17282</v>
          </cell>
          <cell r="H223">
            <v>17891</v>
          </cell>
          <cell r="I223">
            <v>18568</v>
          </cell>
          <cell r="J223">
            <v>18987</v>
          </cell>
          <cell r="K223">
            <v>19013</v>
          </cell>
          <cell r="L223">
            <v>18988</v>
          </cell>
          <cell r="M223">
            <v>16561</v>
          </cell>
          <cell r="N223">
            <v>15681</v>
          </cell>
          <cell r="O223">
            <v>9123</v>
          </cell>
          <cell r="P223">
            <v>5258</v>
          </cell>
          <cell r="Q223">
            <v>2040</v>
          </cell>
          <cell r="R223">
            <v>1738</v>
          </cell>
          <cell r="S223">
            <v>1463</v>
          </cell>
          <cell r="T223">
            <v>1464</v>
          </cell>
          <cell r="U223">
            <v>1700</v>
          </cell>
          <cell r="V223">
            <v>2374</v>
          </cell>
          <cell r="W223">
            <v>7804</v>
          </cell>
          <cell r="X223">
            <v>8557</v>
          </cell>
          <cell r="Y223">
            <v>14314</v>
          </cell>
          <cell r="Z223">
            <v>14430</v>
          </cell>
          <cell r="AA223">
            <v>15484</v>
          </cell>
          <cell r="AB223">
            <v>13677</v>
          </cell>
        </row>
        <row r="224">
          <cell r="C224" t="str">
            <v>Uruguay</v>
          </cell>
          <cell r="D224">
            <v>250</v>
          </cell>
          <cell r="E224">
            <v>238</v>
          </cell>
          <cell r="F224">
            <v>231</v>
          </cell>
          <cell r="G224">
            <v>228</v>
          </cell>
          <cell r="H224">
            <v>207</v>
          </cell>
          <cell r="I224">
            <v>209</v>
          </cell>
          <cell r="J224">
            <v>214</v>
          </cell>
          <cell r="K224">
            <v>210</v>
          </cell>
          <cell r="L224">
            <v>198</v>
          </cell>
          <cell r="M224">
            <v>200</v>
          </cell>
          <cell r="N224">
            <v>196</v>
          </cell>
          <cell r="O224">
            <v>91</v>
          </cell>
          <cell r="P224">
            <v>58</v>
          </cell>
          <cell r="Q224">
            <v>28</v>
          </cell>
          <cell r="R224">
            <v>40</v>
          </cell>
          <cell r="S224">
            <v>32</v>
          </cell>
          <cell r="T224">
            <v>29</v>
          </cell>
          <cell r="U224">
            <v>35</v>
          </cell>
          <cell r="V224">
            <v>39</v>
          </cell>
          <cell r="W224">
            <v>54</v>
          </cell>
          <cell r="X224">
            <v>54</v>
          </cell>
          <cell r="Y224">
            <v>101</v>
          </cell>
          <cell r="Z224">
            <v>107</v>
          </cell>
          <cell r="AA224">
            <v>110</v>
          </cell>
          <cell r="AB224">
            <v>94</v>
          </cell>
        </row>
        <row r="225">
          <cell r="C225" t="str">
            <v>USA</v>
          </cell>
          <cell r="D225">
            <v>221643</v>
          </cell>
          <cell r="E225">
            <v>217001</v>
          </cell>
          <cell r="F225">
            <v>219912</v>
          </cell>
          <cell r="G225">
            <v>218473</v>
          </cell>
          <cell r="H225">
            <v>220628</v>
          </cell>
          <cell r="I225">
            <v>221782</v>
          </cell>
          <cell r="J225">
            <v>227852</v>
          </cell>
          <cell r="K225">
            <v>228230</v>
          </cell>
          <cell r="L225">
            <v>230771</v>
          </cell>
          <cell r="M225">
            <v>236489</v>
          </cell>
          <cell r="N225">
            <v>237920</v>
          </cell>
          <cell r="O225">
            <v>227433</v>
          </cell>
          <cell r="P225">
            <v>183691</v>
          </cell>
          <cell r="Q225">
            <v>129861</v>
          </cell>
          <cell r="R225">
            <v>98955</v>
          </cell>
          <cell r="S225">
            <v>93056</v>
          </cell>
          <cell r="T225">
            <v>86908</v>
          </cell>
          <cell r="U225">
            <v>61006</v>
          </cell>
          <cell r="V225">
            <v>62091</v>
          </cell>
          <cell r="W225">
            <v>65982</v>
          </cell>
          <cell r="X225">
            <v>67439</v>
          </cell>
          <cell r="Y225">
            <v>132143</v>
          </cell>
          <cell r="Z225">
            <v>162634</v>
          </cell>
          <cell r="AA225">
            <v>165679</v>
          </cell>
          <cell r="AB225">
            <v>144119</v>
          </cell>
        </row>
        <row r="226">
          <cell r="C226" t="str">
            <v>Uzbekistan</v>
          </cell>
          <cell r="D226">
            <v>439</v>
          </cell>
          <cell r="E226">
            <v>432</v>
          </cell>
          <cell r="F226">
            <v>423</v>
          </cell>
          <cell r="G226">
            <v>418</v>
          </cell>
          <cell r="H226">
            <v>429</v>
          </cell>
          <cell r="I226">
            <v>417</v>
          </cell>
          <cell r="J226">
            <v>412</v>
          </cell>
          <cell r="K226">
            <v>418</v>
          </cell>
          <cell r="L226">
            <v>435</v>
          </cell>
          <cell r="M226">
            <v>419</v>
          </cell>
          <cell r="N226">
            <v>424</v>
          </cell>
          <cell r="O226">
            <v>114</v>
          </cell>
          <cell r="P226">
            <v>5</v>
          </cell>
          <cell r="Q226">
            <v>7</v>
          </cell>
          <cell r="R226">
            <v>1</v>
          </cell>
          <cell r="S226">
            <v>1</v>
          </cell>
          <cell r="T226">
            <v>9</v>
          </cell>
          <cell r="U226">
            <v>19</v>
          </cell>
          <cell r="V226">
            <v>21</v>
          </cell>
          <cell r="W226">
            <v>29</v>
          </cell>
          <cell r="X226">
            <v>44</v>
          </cell>
          <cell r="Y226">
            <v>145</v>
          </cell>
          <cell r="Z226">
            <v>151</v>
          </cell>
          <cell r="AA226">
            <v>151</v>
          </cell>
          <cell r="AB226">
            <v>129</v>
          </cell>
        </row>
        <row r="227">
          <cell r="C227" t="str">
            <v>Vanuatu</v>
          </cell>
          <cell r="D227">
            <v>342</v>
          </cell>
          <cell r="E227">
            <v>350</v>
          </cell>
          <cell r="F227">
            <v>341</v>
          </cell>
          <cell r="G227">
            <v>343</v>
          </cell>
          <cell r="H227">
            <v>329</v>
          </cell>
          <cell r="I227">
            <v>330</v>
          </cell>
          <cell r="J227">
            <v>332</v>
          </cell>
          <cell r="K227">
            <v>332</v>
          </cell>
          <cell r="L227">
            <v>347</v>
          </cell>
          <cell r="M227">
            <v>334</v>
          </cell>
          <cell r="N227">
            <v>334</v>
          </cell>
          <cell r="O227">
            <v>317</v>
          </cell>
          <cell r="P227">
            <v>281</v>
          </cell>
          <cell r="Q227">
            <v>116</v>
          </cell>
          <cell r="R227">
            <v>209</v>
          </cell>
          <cell r="S227">
            <v>200</v>
          </cell>
          <cell r="T227">
            <v>207</v>
          </cell>
          <cell r="U227">
            <v>195</v>
          </cell>
          <cell r="V227">
            <v>207</v>
          </cell>
          <cell r="W227">
            <v>207</v>
          </cell>
          <cell r="X227">
            <v>207</v>
          </cell>
          <cell r="Y227">
            <v>281</v>
          </cell>
          <cell r="Z227">
            <v>280</v>
          </cell>
          <cell r="AA227">
            <v>284</v>
          </cell>
          <cell r="AB227">
            <v>242</v>
          </cell>
        </row>
        <row r="228">
          <cell r="C228" t="str">
            <v>Venezuela</v>
          </cell>
          <cell r="D228">
            <v>526</v>
          </cell>
          <cell r="E228">
            <v>526</v>
          </cell>
          <cell r="F228">
            <v>545</v>
          </cell>
          <cell r="G228">
            <v>543</v>
          </cell>
          <cell r="H228">
            <v>545</v>
          </cell>
          <cell r="I228">
            <v>552</v>
          </cell>
          <cell r="J228">
            <v>548</v>
          </cell>
          <cell r="K228">
            <v>550</v>
          </cell>
          <cell r="L228">
            <v>555</v>
          </cell>
          <cell r="M228">
            <v>544</v>
          </cell>
          <cell r="N228">
            <v>540</v>
          </cell>
          <cell r="O228">
            <v>528</v>
          </cell>
          <cell r="P228">
            <v>518</v>
          </cell>
          <cell r="Q228">
            <v>470</v>
          </cell>
          <cell r="R228">
            <v>423</v>
          </cell>
          <cell r="S228">
            <v>395</v>
          </cell>
          <cell r="T228">
            <v>410</v>
          </cell>
          <cell r="U228">
            <v>286</v>
          </cell>
          <cell r="V228">
            <v>286</v>
          </cell>
          <cell r="W228">
            <v>286</v>
          </cell>
          <cell r="X228">
            <v>289</v>
          </cell>
          <cell r="Y228">
            <v>413</v>
          </cell>
          <cell r="Z228">
            <v>417</v>
          </cell>
          <cell r="AA228">
            <v>422</v>
          </cell>
          <cell r="AB228">
            <v>360</v>
          </cell>
        </row>
        <row r="229">
          <cell r="C229" t="str">
            <v>Viet Nam</v>
          </cell>
          <cell r="D229">
            <v>7589</v>
          </cell>
          <cell r="E229">
            <v>7835</v>
          </cell>
          <cell r="F229">
            <v>7933</v>
          </cell>
          <cell r="G229">
            <v>8285</v>
          </cell>
          <cell r="H229">
            <v>7868</v>
          </cell>
          <cell r="I229">
            <v>7545</v>
          </cell>
          <cell r="J229">
            <v>7524</v>
          </cell>
          <cell r="K229">
            <v>6571</v>
          </cell>
          <cell r="L229">
            <v>6176</v>
          </cell>
          <cell r="M229">
            <v>6245</v>
          </cell>
          <cell r="N229">
            <v>5824</v>
          </cell>
          <cell r="O229">
            <v>4325</v>
          </cell>
          <cell r="P229">
            <v>3278</v>
          </cell>
          <cell r="Q229">
            <v>942</v>
          </cell>
          <cell r="R229">
            <v>1257</v>
          </cell>
          <cell r="S229">
            <v>1717</v>
          </cell>
          <cell r="T229">
            <v>2053</v>
          </cell>
          <cell r="U229">
            <v>2832</v>
          </cell>
          <cell r="V229">
            <v>3216</v>
          </cell>
          <cell r="W229">
            <v>4031</v>
          </cell>
          <cell r="X229">
            <v>4072</v>
          </cell>
          <cell r="Y229">
            <v>6839</v>
          </cell>
          <cell r="Z229">
            <v>7009</v>
          </cell>
          <cell r="AA229">
            <v>7364</v>
          </cell>
          <cell r="AB229">
            <v>6347</v>
          </cell>
        </row>
        <row r="230">
          <cell r="C230" t="str">
            <v>Virgin Islands, British</v>
          </cell>
          <cell r="D230">
            <v>476</v>
          </cell>
          <cell r="E230">
            <v>463</v>
          </cell>
          <cell r="F230">
            <v>456</v>
          </cell>
          <cell r="G230">
            <v>455</v>
          </cell>
          <cell r="H230">
            <v>460</v>
          </cell>
          <cell r="I230">
            <v>463</v>
          </cell>
          <cell r="J230">
            <v>463</v>
          </cell>
          <cell r="K230">
            <v>460</v>
          </cell>
          <cell r="L230">
            <v>461</v>
          </cell>
          <cell r="M230">
            <v>461</v>
          </cell>
          <cell r="N230">
            <v>454</v>
          </cell>
          <cell r="O230">
            <v>400</v>
          </cell>
          <cell r="P230">
            <v>357</v>
          </cell>
          <cell r="Q230">
            <v>384</v>
          </cell>
          <cell r="R230">
            <v>351</v>
          </cell>
          <cell r="S230">
            <v>348</v>
          </cell>
          <cell r="T230">
            <v>285</v>
          </cell>
          <cell r="U230">
            <v>212</v>
          </cell>
          <cell r="V230">
            <v>225</v>
          </cell>
          <cell r="W230">
            <v>235</v>
          </cell>
          <cell r="X230">
            <v>234</v>
          </cell>
          <cell r="Y230">
            <v>251</v>
          </cell>
          <cell r="Z230">
            <v>253</v>
          </cell>
          <cell r="AA230">
            <v>263</v>
          </cell>
          <cell r="AB230">
            <v>231</v>
          </cell>
        </row>
        <row r="231">
          <cell r="C231" t="str">
            <v>Virgin Islands, US</v>
          </cell>
          <cell r="D231">
            <v>672</v>
          </cell>
          <cell r="E231">
            <v>666</v>
          </cell>
          <cell r="F231">
            <v>661</v>
          </cell>
          <cell r="G231">
            <v>670</v>
          </cell>
          <cell r="H231">
            <v>731</v>
          </cell>
          <cell r="I231">
            <v>697</v>
          </cell>
          <cell r="J231">
            <v>685</v>
          </cell>
          <cell r="K231">
            <v>731</v>
          </cell>
          <cell r="L231">
            <v>771</v>
          </cell>
          <cell r="M231">
            <v>692</v>
          </cell>
          <cell r="N231">
            <v>672</v>
          </cell>
          <cell r="O231">
            <v>626</v>
          </cell>
          <cell r="P231">
            <v>500</v>
          </cell>
          <cell r="Q231">
            <v>451</v>
          </cell>
          <cell r="R231">
            <v>432</v>
          </cell>
          <cell r="S231">
            <v>421</v>
          </cell>
          <cell r="T231">
            <v>394</v>
          </cell>
          <cell r="U231">
            <v>412</v>
          </cell>
          <cell r="V231">
            <v>414</v>
          </cell>
          <cell r="W231">
            <v>414</v>
          </cell>
          <cell r="X231">
            <v>434</v>
          </cell>
          <cell r="Y231">
            <v>496</v>
          </cell>
          <cell r="Z231">
            <v>540</v>
          </cell>
          <cell r="AA231">
            <v>593</v>
          </cell>
          <cell r="AB231">
            <v>602</v>
          </cell>
        </row>
        <row r="232">
          <cell r="C232" t="str">
            <v>Wallis and Futuna Islands</v>
          </cell>
          <cell r="D232">
            <v>32</v>
          </cell>
          <cell r="E232">
            <v>30</v>
          </cell>
          <cell r="F232">
            <v>28</v>
          </cell>
          <cell r="G232">
            <v>30</v>
          </cell>
          <cell r="H232">
            <v>52</v>
          </cell>
          <cell r="I232">
            <v>30</v>
          </cell>
          <cell r="J232">
            <v>25</v>
          </cell>
          <cell r="K232">
            <v>25</v>
          </cell>
          <cell r="L232">
            <v>23</v>
          </cell>
          <cell r="M232">
            <v>23</v>
          </cell>
          <cell r="N232">
            <v>23</v>
          </cell>
          <cell r="O232">
            <v>5</v>
          </cell>
          <cell r="P232">
            <v>18</v>
          </cell>
          <cell r="Q232">
            <v>25</v>
          </cell>
          <cell r="R232">
            <v>26</v>
          </cell>
          <cell r="S232">
            <v>10</v>
          </cell>
          <cell r="T232">
            <v>10</v>
          </cell>
          <cell r="U232">
            <v>10</v>
          </cell>
          <cell r="V232">
            <v>10</v>
          </cell>
          <cell r="W232">
            <v>10</v>
          </cell>
          <cell r="X232">
            <v>10</v>
          </cell>
          <cell r="Y232">
            <v>56</v>
          </cell>
          <cell r="Z232">
            <v>30</v>
          </cell>
          <cell r="AA232">
            <v>55</v>
          </cell>
          <cell r="AB232">
            <v>30</v>
          </cell>
        </row>
        <row r="233">
          <cell r="C233" t="str">
            <v>Yemen</v>
          </cell>
          <cell r="D233">
            <v>14</v>
          </cell>
          <cell r="E233">
            <v>10</v>
          </cell>
          <cell r="F233">
            <v>10</v>
          </cell>
          <cell r="G233">
            <v>10</v>
          </cell>
          <cell r="H233">
            <v>10</v>
          </cell>
          <cell r="I233">
            <v>10</v>
          </cell>
          <cell r="J233">
            <v>10</v>
          </cell>
          <cell r="K233">
            <v>10</v>
          </cell>
          <cell r="L233">
            <v>8</v>
          </cell>
          <cell r="M233">
            <v>8</v>
          </cell>
          <cell r="N233">
            <v>8</v>
          </cell>
          <cell r="O233">
            <v>8</v>
          </cell>
          <cell r="P233">
            <v>8</v>
          </cell>
          <cell r="Q233">
            <v>8</v>
          </cell>
          <cell r="R233">
            <v>8</v>
          </cell>
          <cell r="S233">
            <v>8</v>
          </cell>
          <cell r="T233">
            <v>8</v>
          </cell>
          <cell r="U233">
            <v>8</v>
          </cell>
          <cell r="V233">
            <v>8</v>
          </cell>
          <cell r="W233">
            <v>8</v>
          </cell>
          <cell r="X233">
            <v>8</v>
          </cell>
          <cell r="Y233">
            <v>8</v>
          </cell>
          <cell r="Z233">
            <v>8</v>
          </cell>
          <cell r="AA233">
            <v>8</v>
          </cell>
          <cell r="AB233">
            <v>7</v>
          </cell>
        </row>
        <row r="234">
          <cell r="C234" t="str">
            <v>Zambia</v>
          </cell>
          <cell r="D234">
            <v>337</v>
          </cell>
          <cell r="E234">
            <v>338</v>
          </cell>
          <cell r="F234">
            <v>331</v>
          </cell>
          <cell r="G234">
            <v>325</v>
          </cell>
          <cell r="H234">
            <v>329</v>
          </cell>
          <cell r="I234">
            <v>329</v>
          </cell>
          <cell r="J234">
            <v>338</v>
          </cell>
          <cell r="K234">
            <v>347</v>
          </cell>
          <cell r="L234">
            <v>346</v>
          </cell>
          <cell r="M234">
            <v>344</v>
          </cell>
          <cell r="N234">
            <v>339</v>
          </cell>
          <cell r="O234">
            <v>268</v>
          </cell>
          <cell r="P234">
            <v>217</v>
          </cell>
          <cell r="Q234">
            <v>75</v>
          </cell>
          <cell r="R234">
            <v>71</v>
          </cell>
          <cell r="S234">
            <v>95</v>
          </cell>
          <cell r="T234">
            <v>76</v>
          </cell>
          <cell r="U234">
            <v>66</v>
          </cell>
          <cell r="V234">
            <v>84</v>
          </cell>
          <cell r="W234">
            <v>114</v>
          </cell>
          <cell r="X234">
            <v>139</v>
          </cell>
          <cell r="Y234">
            <v>186</v>
          </cell>
          <cell r="Z234">
            <v>198</v>
          </cell>
          <cell r="AA234">
            <v>204</v>
          </cell>
          <cell r="AB234">
            <v>176</v>
          </cell>
        </row>
        <row r="235">
          <cell r="C235" t="str">
            <v>Zimbabwe</v>
          </cell>
          <cell r="D235">
            <v>327</v>
          </cell>
          <cell r="E235">
            <v>317</v>
          </cell>
          <cell r="F235">
            <v>310</v>
          </cell>
          <cell r="G235">
            <v>303</v>
          </cell>
          <cell r="H235">
            <v>300</v>
          </cell>
          <cell r="I235">
            <v>300</v>
          </cell>
          <cell r="J235">
            <v>301</v>
          </cell>
          <cell r="K235">
            <v>300</v>
          </cell>
          <cell r="L235">
            <v>311</v>
          </cell>
          <cell r="M235">
            <v>311</v>
          </cell>
          <cell r="N235">
            <v>296</v>
          </cell>
          <cell r="O235">
            <v>227</v>
          </cell>
          <cell r="P235">
            <v>146</v>
          </cell>
          <cell r="Q235">
            <v>74</v>
          </cell>
          <cell r="R235">
            <v>78</v>
          </cell>
          <cell r="S235">
            <v>94</v>
          </cell>
          <cell r="T235">
            <v>76</v>
          </cell>
          <cell r="U235">
            <v>91</v>
          </cell>
          <cell r="V235">
            <v>125</v>
          </cell>
          <cell r="W235">
            <v>157</v>
          </cell>
          <cell r="X235">
            <v>171</v>
          </cell>
          <cell r="Y235">
            <v>253</v>
          </cell>
          <cell r="Z235">
            <v>264</v>
          </cell>
          <cell r="AA235">
            <v>270</v>
          </cell>
          <cell r="AB235">
            <v>231</v>
          </cell>
        </row>
        <row r="236">
          <cell r="C236" t="str">
            <v>Grand Total</v>
          </cell>
          <cell r="D236">
            <v>814625</v>
          </cell>
          <cell r="E236">
            <v>806924</v>
          </cell>
          <cell r="F236">
            <v>806505</v>
          </cell>
          <cell r="G236">
            <v>805881</v>
          </cell>
          <cell r="H236">
            <v>775141</v>
          </cell>
          <cell r="I236">
            <v>732120</v>
          </cell>
          <cell r="J236">
            <v>728408</v>
          </cell>
          <cell r="K236">
            <v>734927</v>
          </cell>
          <cell r="L236">
            <v>756880</v>
          </cell>
          <cell r="M236">
            <v>743169</v>
          </cell>
          <cell r="N236">
            <v>720239</v>
          </cell>
          <cell r="O236">
            <v>584116</v>
          </cell>
          <cell r="P236">
            <v>437769</v>
          </cell>
          <cell r="Q236">
            <v>343431</v>
          </cell>
          <cell r="R236">
            <v>292418</v>
          </cell>
          <cell r="S236">
            <v>276965</v>
          </cell>
          <cell r="T236">
            <v>279754</v>
          </cell>
          <cell r="U236">
            <v>253691</v>
          </cell>
          <cell r="V236">
            <v>303858</v>
          </cell>
          <cell r="W236">
            <v>373378</v>
          </cell>
          <cell r="X236">
            <v>393359</v>
          </cell>
          <cell r="Y236">
            <v>644964</v>
          </cell>
          <cell r="Z236">
            <v>687502</v>
          </cell>
          <cell r="AA236">
            <v>707245</v>
          </cell>
          <cell r="AB236">
            <v>614174</v>
          </cell>
        </row>
      </sheetData>
      <sheetData sheetId="6">
        <row r="7">
          <cell r="C7" t="str">
            <v>Afghanistan</v>
          </cell>
          <cell r="D7">
            <v>261</v>
          </cell>
          <cell r="E7">
            <v>259</v>
          </cell>
          <cell r="F7">
            <v>256</v>
          </cell>
          <cell r="G7">
            <v>271</v>
          </cell>
          <cell r="H7">
            <v>258</v>
          </cell>
          <cell r="I7">
            <v>277</v>
          </cell>
          <cell r="J7">
            <v>269</v>
          </cell>
          <cell r="K7">
            <v>281</v>
          </cell>
          <cell r="L7">
            <v>282</v>
          </cell>
          <cell r="M7">
            <v>284</v>
          </cell>
          <cell r="N7">
            <v>274</v>
          </cell>
          <cell r="O7">
            <v>259</v>
          </cell>
          <cell r="P7">
            <v>278</v>
          </cell>
          <cell r="Q7">
            <v>281</v>
          </cell>
          <cell r="R7">
            <v>284</v>
          </cell>
          <cell r="S7">
            <v>274</v>
          </cell>
          <cell r="T7">
            <v>261</v>
          </cell>
          <cell r="U7">
            <v>239</v>
          </cell>
          <cell r="V7">
            <v>223</v>
          </cell>
          <cell r="W7">
            <v>241</v>
          </cell>
          <cell r="X7">
            <v>249</v>
          </cell>
          <cell r="Y7">
            <v>209</v>
          </cell>
          <cell r="Z7">
            <v>259</v>
          </cell>
          <cell r="AA7">
            <v>265</v>
          </cell>
          <cell r="AB7">
            <v>280</v>
          </cell>
        </row>
        <row r="8">
          <cell r="C8" t="str">
            <v>Albania</v>
          </cell>
          <cell r="D8">
            <v>234</v>
          </cell>
          <cell r="E8">
            <v>199</v>
          </cell>
          <cell r="F8">
            <v>204</v>
          </cell>
          <cell r="G8">
            <v>205</v>
          </cell>
          <cell r="H8">
            <v>204</v>
          </cell>
          <cell r="I8">
            <v>206</v>
          </cell>
          <cell r="J8">
            <v>204</v>
          </cell>
          <cell r="K8">
            <v>203</v>
          </cell>
          <cell r="L8">
            <v>199</v>
          </cell>
          <cell r="M8">
            <v>198</v>
          </cell>
          <cell r="N8">
            <v>196</v>
          </cell>
          <cell r="O8">
            <v>191</v>
          </cell>
          <cell r="P8">
            <v>226</v>
          </cell>
          <cell r="Q8">
            <v>229</v>
          </cell>
          <cell r="R8">
            <v>244</v>
          </cell>
          <cell r="S8">
            <v>264</v>
          </cell>
          <cell r="T8">
            <v>262</v>
          </cell>
          <cell r="U8">
            <v>237</v>
          </cell>
          <cell r="V8">
            <v>236</v>
          </cell>
          <cell r="W8">
            <v>234</v>
          </cell>
          <cell r="X8">
            <v>250</v>
          </cell>
          <cell r="Y8">
            <v>266</v>
          </cell>
          <cell r="Z8">
            <v>270</v>
          </cell>
          <cell r="AA8">
            <v>276</v>
          </cell>
          <cell r="AB8">
            <v>296</v>
          </cell>
        </row>
        <row r="9">
          <cell r="C9" t="str">
            <v>Algeria</v>
          </cell>
          <cell r="D9">
            <v>1420</v>
          </cell>
          <cell r="E9">
            <v>1409</v>
          </cell>
          <cell r="F9">
            <v>1387</v>
          </cell>
          <cell r="G9">
            <v>1384</v>
          </cell>
          <cell r="H9">
            <v>1390</v>
          </cell>
          <cell r="I9">
            <v>1403</v>
          </cell>
          <cell r="J9">
            <v>1419</v>
          </cell>
          <cell r="K9">
            <v>1433</v>
          </cell>
          <cell r="L9">
            <v>1430</v>
          </cell>
          <cell r="M9">
            <v>1450</v>
          </cell>
          <cell r="N9">
            <v>1485</v>
          </cell>
          <cell r="O9">
            <v>1433</v>
          </cell>
          <cell r="P9">
            <v>1469</v>
          </cell>
          <cell r="Q9">
            <v>1448</v>
          </cell>
          <cell r="R9">
            <v>1446</v>
          </cell>
          <cell r="S9">
            <v>1447</v>
          </cell>
          <cell r="T9">
            <v>1449</v>
          </cell>
          <cell r="U9">
            <v>1374</v>
          </cell>
          <cell r="V9">
            <v>1259</v>
          </cell>
          <cell r="W9">
            <v>1265</v>
          </cell>
          <cell r="X9">
            <v>1236</v>
          </cell>
          <cell r="Y9">
            <v>1424</v>
          </cell>
          <cell r="Z9">
            <v>1448</v>
          </cell>
          <cell r="AA9">
            <v>1489</v>
          </cell>
          <cell r="AB9">
            <v>1503</v>
          </cell>
        </row>
        <row r="10">
          <cell r="C10" t="str">
            <v>American Samoa</v>
          </cell>
          <cell r="D10">
            <v>3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2</v>
          </cell>
          <cell r="N10">
            <v>2</v>
          </cell>
          <cell r="O10">
            <v>2</v>
          </cell>
          <cell r="P10">
            <v>2</v>
          </cell>
          <cell r="Q10">
            <v>2</v>
          </cell>
          <cell r="R10">
            <v>2</v>
          </cell>
          <cell r="S10">
            <v>2</v>
          </cell>
          <cell r="T10">
            <v>2</v>
          </cell>
          <cell r="U10">
            <v>2</v>
          </cell>
          <cell r="V10">
            <v>2</v>
          </cell>
          <cell r="W10">
            <v>2</v>
          </cell>
          <cell r="X10">
            <v>2</v>
          </cell>
          <cell r="Y10">
            <v>2</v>
          </cell>
          <cell r="Z10">
            <v>3</v>
          </cell>
          <cell r="AA10">
            <v>3</v>
          </cell>
          <cell r="AB10">
            <v>3</v>
          </cell>
        </row>
        <row r="11">
          <cell r="C11" t="str">
            <v>Angola</v>
          </cell>
          <cell r="D11">
            <v>365</v>
          </cell>
          <cell r="E11">
            <v>357</v>
          </cell>
          <cell r="F11">
            <v>343</v>
          </cell>
          <cell r="G11">
            <v>355</v>
          </cell>
          <cell r="H11">
            <v>353</v>
          </cell>
          <cell r="I11">
            <v>370</v>
          </cell>
          <cell r="J11">
            <v>370</v>
          </cell>
          <cell r="K11">
            <v>370</v>
          </cell>
          <cell r="L11">
            <v>374</v>
          </cell>
          <cell r="M11">
            <v>372</v>
          </cell>
          <cell r="N11">
            <v>373</v>
          </cell>
          <cell r="O11">
            <v>371</v>
          </cell>
          <cell r="P11">
            <v>368</v>
          </cell>
          <cell r="Q11">
            <v>364</v>
          </cell>
          <cell r="R11">
            <v>360</v>
          </cell>
          <cell r="S11">
            <v>365</v>
          </cell>
          <cell r="T11">
            <v>349</v>
          </cell>
          <cell r="U11">
            <v>359</v>
          </cell>
          <cell r="V11">
            <v>359</v>
          </cell>
          <cell r="W11">
            <v>363</v>
          </cell>
          <cell r="X11">
            <v>361</v>
          </cell>
          <cell r="Y11">
            <v>361</v>
          </cell>
          <cell r="Z11">
            <v>360</v>
          </cell>
          <cell r="AA11">
            <v>360</v>
          </cell>
          <cell r="AB11">
            <v>360</v>
          </cell>
        </row>
        <row r="12">
          <cell r="C12" t="str">
            <v>Anguilla, Leeward Islands</v>
          </cell>
          <cell r="D12">
            <v>91</v>
          </cell>
          <cell r="E12">
            <v>91</v>
          </cell>
          <cell r="F12">
            <v>91</v>
          </cell>
          <cell r="G12">
            <v>91</v>
          </cell>
          <cell r="H12">
            <v>93</v>
          </cell>
          <cell r="I12">
            <v>91</v>
          </cell>
          <cell r="J12">
            <v>92</v>
          </cell>
          <cell r="K12">
            <v>91</v>
          </cell>
          <cell r="L12">
            <v>91</v>
          </cell>
          <cell r="M12">
            <v>84</v>
          </cell>
          <cell r="N12">
            <v>86</v>
          </cell>
          <cell r="O12">
            <v>85</v>
          </cell>
          <cell r="P12">
            <v>85</v>
          </cell>
          <cell r="Q12">
            <v>84</v>
          </cell>
          <cell r="R12">
            <v>84</v>
          </cell>
          <cell r="S12">
            <v>82</v>
          </cell>
          <cell r="T12">
            <v>81</v>
          </cell>
          <cell r="U12">
            <v>81</v>
          </cell>
          <cell r="V12">
            <v>81</v>
          </cell>
          <cell r="W12">
            <v>81</v>
          </cell>
          <cell r="X12">
            <v>81</v>
          </cell>
          <cell r="Y12">
            <v>81</v>
          </cell>
          <cell r="Z12">
            <v>81</v>
          </cell>
          <cell r="AA12">
            <v>81</v>
          </cell>
          <cell r="AB12">
            <v>81</v>
          </cell>
        </row>
        <row r="13">
          <cell r="C13" t="str">
            <v>Antigua and Barbuda, Leeward Islands</v>
          </cell>
          <cell r="D13">
            <v>272</v>
          </cell>
          <cell r="E13">
            <v>271</v>
          </cell>
          <cell r="F13">
            <v>268</v>
          </cell>
          <cell r="G13">
            <v>267</v>
          </cell>
          <cell r="H13">
            <v>272</v>
          </cell>
          <cell r="I13">
            <v>276</v>
          </cell>
          <cell r="J13">
            <v>271</v>
          </cell>
          <cell r="K13">
            <v>272</v>
          </cell>
          <cell r="L13">
            <v>273</v>
          </cell>
          <cell r="M13">
            <v>274</v>
          </cell>
          <cell r="N13">
            <v>276</v>
          </cell>
          <cell r="O13">
            <v>264</v>
          </cell>
          <cell r="P13">
            <v>252</v>
          </cell>
          <cell r="Q13">
            <v>258</v>
          </cell>
          <cell r="R13">
            <v>256</v>
          </cell>
          <cell r="S13">
            <v>257</v>
          </cell>
          <cell r="T13">
            <v>251</v>
          </cell>
          <cell r="U13">
            <v>248</v>
          </cell>
          <cell r="V13">
            <v>247</v>
          </cell>
          <cell r="W13">
            <v>244</v>
          </cell>
          <cell r="X13">
            <v>245</v>
          </cell>
          <cell r="Y13">
            <v>243</v>
          </cell>
          <cell r="Z13">
            <v>243</v>
          </cell>
          <cell r="AA13">
            <v>246</v>
          </cell>
          <cell r="AB13">
            <v>240</v>
          </cell>
        </row>
        <row r="14">
          <cell r="C14" t="str">
            <v>Argentina</v>
          </cell>
          <cell r="D14">
            <v>4185</v>
          </cell>
          <cell r="E14">
            <v>4194</v>
          </cell>
          <cell r="F14">
            <v>4190</v>
          </cell>
          <cell r="G14">
            <v>4160</v>
          </cell>
          <cell r="H14">
            <v>4113</v>
          </cell>
          <cell r="I14">
            <v>4062</v>
          </cell>
          <cell r="J14">
            <v>3998</v>
          </cell>
          <cell r="K14">
            <v>3983</v>
          </cell>
          <cell r="L14">
            <v>4017</v>
          </cell>
          <cell r="M14">
            <v>3896</v>
          </cell>
          <cell r="N14">
            <v>3878</v>
          </cell>
          <cell r="O14">
            <v>3753</v>
          </cell>
          <cell r="P14">
            <v>3552</v>
          </cell>
          <cell r="Q14">
            <v>3521</v>
          </cell>
          <cell r="R14">
            <v>3516</v>
          </cell>
          <cell r="S14">
            <v>3522</v>
          </cell>
          <cell r="T14">
            <v>3418</v>
          </cell>
          <cell r="U14">
            <v>3456</v>
          </cell>
          <cell r="V14">
            <v>3446</v>
          </cell>
          <cell r="W14">
            <v>3476</v>
          </cell>
          <cell r="X14">
            <v>3444</v>
          </cell>
          <cell r="Y14">
            <v>3392</v>
          </cell>
          <cell r="Z14">
            <v>3404</v>
          </cell>
          <cell r="AA14">
            <v>3425</v>
          </cell>
          <cell r="AB14">
            <v>3417</v>
          </cell>
        </row>
        <row r="15">
          <cell r="C15" t="str">
            <v>Armenia</v>
          </cell>
          <cell r="D15">
            <v>227</v>
          </cell>
          <cell r="E15">
            <v>197</v>
          </cell>
          <cell r="F15">
            <v>194</v>
          </cell>
          <cell r="G15">
            <v>189</v>
          </cell>
          <cell r="H15">
            <v>188</v>
          </cell>
          <cell r="I15">
            <v>189</v>
          </cell>
          <cell r="J15">
            <v>189</v>
          </cell>
          <cell r="K15">
            <v>189</v>
          </cell>
          <cell r="L15">
            <v>191</v>
          </cell>
          <cell r="M15">
            <v>194</v>
          </cell>
          <cell r="N15">
            <v>194</v>
          </cell>
          <cell r="O15">
            <v>191</v>
          </cell>
          <cell r="P15">
            <v>180</v>
          </cell>
          <cell r="Q15">
            <v>185</v>
          </cell>
          <cell r="R15">
            <v>185</v>
          </cell>
          <cell r="S15">
            <v>195</v>
          </cell>
          <cell r="T15">
            <v>201</v>
          </cell>
          <cell r="U15">
            <v>197</v>
          </cell>
          <cell r="V15">
            <v>203</v>
          </cell>
          <cell r="W15">
            <v>205</v>
          </cell>
          <cell r="X15">
            <v>215</v>
          </cell>
          <cell r="Y15">
            <v>246</v>
          </cell>
          <cell r="Z15">
            <v>245</v>
          </cell>
          <cell r="AA15">
            <v>248</v>
          </cell>
          <cell r="AB15">
            <v>259</v>
          </cell>
        </row>
        <row r="16">
          <cell r="C16" t="str">
            <v>Aruba</v>
          </cell>
          <cell r="D16">
            <v>313</v>
          </cell>
          <cell r="E16">
            <v>312</v>
          </cell>
          <cell r="F16">
            <v>309</v>
          </cell>
          <cell r="G16">
            <v>308</v>
          </cell>
          <cell r="H16">
            <v>287</v>
          </cell>
          <cell r="I16">
            <v>303</v>
          </cell>
          <cell r="J16">
            <v>303</v>
          </cell>
          <cell r="K16">
            <v>280</v>
          </cell>
          <cell r="L16">
            <v>281</v>
          </cell>
          <cell r="M16">
            <v>283</v>
          </cell>
          <cell r="N16">
            <v>281</v>
          </cell>
          <cell r="O16">
            <v>278</v>
          </cell>
          <cell r="P16">
            <v>272</v>
          </cell>
          <cell r="Q16">
            <v>268</v>
          </cell>
          <cell r="R16">
            <v>270</v>
          </cell>
          <cell r="S16">
            <v>275</v>
          </cell>
          <cell r="T16">
            <v>258</v>
          </cell>
          <cell r="U16">
            <v>248</v>
          </cell>
          <cell r="V16">
            <v>252</v>
          </cell>
          <cell r="W16">
            <v>280</v>
          </cell>
          <cell r="X16">
            <v>279</v>
          </cell>
          <cell r="Y16">
            <v>268</v>
          </cell>
          <cell r="Z16">
            <v>272</v>
          </cell>
          <cell r="AA16">
            <v>285</v>
          </cell>
          <cell r="AB16">
            <v>286</v>
          </cell>
        </row>
        <row r="17">
          <cell r="C17" t="str">
            <v>Australia</v>
          </cell>
          <cell r="D17">
            <v>14388</v>
          </cell>
          <cell r="E17">
            <v>14607</v>
          </cell>
          <cell r="F17">
            <v>14570</v>
          </cell>
          <cell r="G17">
            <v>14780</v>
          </cell>
          <cell r="H17">
            <v>14946</v>
          </cell>
          <cell r="I17">
            <v>14999</v>
          </cell>
          <cell r="J17">
            <v>15011</v>
          </cell>
          <cell r="K17">
            <v>15084</v>
          </cell>
          <cell r="L17">
            <v>14937</v>
          </cell>
          <cell r="M17">
            <v>15061</v>
          </cell>
          <cell r="N17">
            <v>15040</v>
          </cell>
          <cell r="O17">
            <v>14748</v>
          </cell>
          <cell r="P17">
            <v>15101</v>
          </cell>
          <cell r="Q17">
            <v>15535</v>
          </cell>
          <cell r="R17">
            <v>14761</v>
          </cell>
          <cell r="S17">
            <v>14204</v>
          </cell>
          <cell r="T17">
            <v>15110</v>
          </cell>
          <cell r="U17">
            <v>14881</v>
          </cell>
          <cell r="V17">
            <v>15006</v>
          </cell>
          <cell r="W17">
            <v>14962</v>
          </cell>
          <cell r="X17">
            <v>14858</v>
          </cell>
          <cell r="Y17">
            <v>14799</v>
          </cell>
          <cell r="Z17">
            <v>14928</v>
          </cell>
          <cell r="AA17">
            <v>15062</v>
          </cell>
          <cell r="AB17">
            <v>15459</v>
          </cell>
        </row>
        <row r="18">
          <cell r="C18" t="str">
            <v>Austria</v>
          </cell>
          <cell r="D18">
            <v>2608</v>
          </cell>
          <cell r="E18">
            <v>2552</v>
          </cell>
          <cell r="F18">
            <v>2551</v>
          </cell>
          <cell r="G18">
            <v>2566</v>
          </cell>
          <cell r="H18">
            <v>2604</v>
          </cell>
          <cell r="I18">
            <v>2673</v>
          </cell>
          <cell r="J18">
            <v>2746</v>
          </cell>
          <cell r="K18">
            <v>2804</v>
          </cell>
          <cell r="L18">
            <v>2875</v>
          </cell>
          <cell r="M18">
            <v>2857</v>
          </cell>
          <cell r="N18">
            <v>2876</v>
          </cell>
          <cell r="O18">
            <v>2881</v>
          </cell>
          <cell r="P18">
            <v>3028</v>
          </cell>
          <cell r="Q18">
            <v>3038</v>
          </cell>
          <cell r="R18">
            <v>2946</v>
          </cell>
          <cell r="S18">
            <v>2897</v>
          </cell>
          <cell r="T18">
            <v>2878</v>
          </cell>
          <cell r="U18">
            <v>2896</v>
          </cell>
          <cell r="V18">
            <v>2932</v>
          </cell>
          <cell r="W18">
            <v>2965</v>
          </cell>
          <cell r="X18">
            <v>3060</v>
          </cell>
          <cell r="Y18">
            <v>3198</v>
          </cell>
          <cell r="Z18">
            <v>3206</v>
          </cell>
          <cell r="AA18">
            <v>3177</v>
          </cell>
          <cell r="AB18">
            <v>3242</v>
          </cell>
        </row>
        <row r="19">
          <cell r="C19" t="str">
            <v>Azerbaijan</v>
          </cell>
          <cell r="D19">
            <v>346</v>
          </cell>
          <cell r="E19">
            <v>328</v>
          </cell>
          <cell r="F19">
            <v>319</v>
          </cell>
          <cell r="G19">
            <v>299</v>
          </cell>
          <cell r="H19">
            <v>282</v>
          </cell>
          <cell r="I19">
            <v>283</v>
          </cell>
          <cell r="J19">
            <v>287</v>
          </cell>
          <cell r="K19">
            <v>302</v>
          </cell>
          <cell r="L19">
            <v>329</v>
          </cell>
          <cell r="M19">
            <v>343</v>
          </cell>
          <cell r="N19">
            <v>357</v>
          </cell>
          <cell r="O19">
            <v>357</v>
          </cell>
          <cell r="P19">
            <v>349</v>
          </cell>
          <cell r="Q19">
            <v>347</v>
          </cell>
          <cell r="R19">
            <v>347</v>
          </cell>
          <cell r="S19">
            <v>350</v>
          </cell>
          <cell r="T19">
            <v>355</v>
          </cell>
          <cell r="U19">
            <v>344</v>
          </cell>
          <cell r="V19">
            <v>348</v>
          </cell>
          <cell r="W19">
            <v>355</v>
          </cell>
          <cell r="X19">
            <v>401</v>
          </cell>
          <cell r="Y19">
            <v>434</v>
          </cell>
          <cell r="Z19">
            <v>441</v>
          </cell>
          <cell r="AA19">
            <v>458</v>
          </cell>
          <cell r="AB19">
            <v>474</v>
          </cell>
        </row>
        <row r="20">
          <cell r="C20" t="str">
            <v>Bahamas</v>
          </cell>
          <cell r="D20">
            <v>1430</v>
          </cell>
          <cell r="E20">
            <v>1438</v>
          </cell>
          <cell r="F20">
            <v>1440</v>
          </cell>
          <cell r="G20">
            <v>1437</v>
          </cell>
          <cell r="H20">
            <v>1445</v>
          </cell>
          <cell r="I20">
            <v>1506</v>
          </cell>
          <cell r="J20">
            <v>1547</v>
          </cell>
          <cell r="K20">
            <v>1569</v>
          </cell>
          <cell r="L20">
            <v>1651</v>
          </cell>
          <cell r="M20">
            <v>1634</v>
          </cell>
          <cell r="N20">
            <v>1634</v>
          </cell>
          <cell r="O20">
            <v>1629</v>
          </cell>
          <cell r="P20">
            <v>1631</v>
          </cell>
          <cell r="Q20">
            <v>1632</v>
          </cell>
          <cell r="R20">
            <v>1675</v>
          </cell>
          <cell r="S20">
            <v>1705</v>
          </cell>
          <cell r="T20">
            <v>1640</v>
          </cell>
          <cell r="U20">
            <v>1613</v>
          </cell>
          <cell r="V20">
            <v>1613</v>
          </cell>
          <cell r="W20">
            <v>1612</v>
          </cell>
          <cell r="X20">
            <v>1613</v>
          </cell>
          <cell r="Y20">
            <v>1642</v>
          </cell>
          <cell r="Z20">
            <v>1638</v>
          </cell>
          <cell r="AA20">
            <v>1623</v>
          </cell>
          <cell r="AB20">
            <v>1627</v>
          </cell>
        </row>
        <row r="21">
          <cell r="C21" t="str">
            <v>Bahrain</v>
          </cell>
          <cell r="D21">
            <v>820</v>
          </cell>
          <cell r="E21">
            <v>818</v>
          </cell>
          <cell r="F21">
            <v>826</v>
          </cell>
          <cell r="G21">
            <v>817</v>
          </cell>
          <cell r="H21">
            <v>797</v>
          </cell>
          <cell r="I21">
            <v>800</v>
          </cell>
          <cell r="J21">
            <v>803</v>
          </cell>
          <cell r="K21">
            <v>795</v>
          </cell>
          <cell r="L21">
            <v>792</v>
          </cell>
          <cell r="M21">
            <v>788</v>
          </cell>
          <cell r="N21">
            <v>789</v>
          </cell>
          <cell r="O21">
            <v>780</v>
          </cell>
          <cell r="P21">
            <v>785</v>
          </cell>
          <cell r="Q21">
            <v>788</v>
          </cell>
          <cell r="R21">
            <v>773</v>
          </cell>
          <cell r="S21">
            <v>772</v>
          </cell>
          <cell r="T21">
            <v>777</v>
          </cell>
          <cell r="U21">
            <v>738</v>
          </cell>
          <cell r="V21">
            <v>735</v>
          </cell>
          <cell r="W21">
            <v>736</v>
          </cell>
          <cell r="X21">
            <v>778</v>
          </cell>
          <cell r="Y21">
            <v>814</v>
          </cell>
          <cell r="Z21">
            <v>819</v>
          </cell>
          <cell r="AA21">
            <v>834</v>
          </cell>
          <cell r="AB21">
            <v>831</v>
          </cell>
        </row>
        <row r="22">
          <cell r="C22" t="str">
            <v>Bangladesh</v>
          </cell>
          <cell r="D22">
            <v>1510</v>
          </cell>
          <cell r="E22">
            <v>1522</v>
          </cell>
          <cell r="F22">
            <v>1518</v>
          </cell>
          <cell r="G22">
            <v>1502</v>
          </cell>
          <cell r="H22">
            <v>1497</v>
          </cell>
          <cell r="I22">
            <v>1501</v>
          </cell>
          <cell r="J22">
            <v>1510</v>
          </cell>
          <cell r="K22">
            <v>1510</v>
          </cell>
          <cell r="L22">
            <v>1510</v>
          </cell>
          <cell r="M22">
            <v>1507</v>
          </cell>
          <cell r="N22">
            <v>1499</v>
          </cell>
          <cell r="O22">
            <v>1388</v>
          </cell>
          <cell r="P22">
            <v>1238</v>
          </cell>
          <cell r="Q22">
            <v>1241</v>
          </cell>
          <cell r="R22">
            <v>1235</v>
          </cell>
          <cell r="S22">
            <v>1230</v>
          </cell>
          <cell r="T22">
            <v>1230</v>
          </cell>
          <cell r="U22">
            <v>1228</v>
          </cell>
          <cell r="V22">
            <v>1233</v>
          </cell>
          <cell r="W22">
            <v>1239</v>
          </cell>
          <cell r="X22">
            <v>1238</v>
          </cell>
          <cell r="Y22">
            <v>1259</v>
          </cell>
          <cell r="Z22">
            <v>1250</v>
          </cell>
          <cell r="AA22">
            <v>1236</v>
          </cell>
          <cell r="AB22">
            <v>1236</v>
          </cell>
        </row>
        <row r="23">
          <cell r="C23" t="str">
            <v>Barbados</v>
          </cell>
          <cell r="D23">
            <v>335</v>
          </cell>
          <cell r="E23">
            <v>334</v>
          </cell>
          <cell r="F23">
            <v>330</v>
          </cell>
          <cell r="G23">
            <v>337</v>
          </cell>
          <cell r="H23">
            <v>332</v>
          </cell>
          <cell r="I23">
            <v>336</v>
          </cell>
          <cell r="J23">
            <v>335</v>
          </cell>
          <cell r="K23">
            <v>337</v>
          </cell>
          <cell r="L23">
            <v>332</v>
          </cell>
          <cell r="M23">
            <v>333</v>
          </cell>
          <cell r="N23">
            <v>315</v>
          </cell>
          <cell r="O23">
            <v>312</v>
          </cell>
          <cell r="P23">
            <v>301</v>
          </cell>
          <cell r="Q23">
            <v>302</v>
          </cell>
          <cell r="R23">
            <v>302</v>
          </cell>
          <cell r="S23">
            <v>301</v>
          </cell>
          <cell r="T23">
            <v>291</v>
          </cell>
          <cell r="U23">
            <v>283</v>
          </cell>
          <cell r="V23">
            <v>283</v>
          </cell>
          <cell r="W23">
            <v>283</v>
          </cell>
          <cell r="X23">
            <v>282</v>
          </cell>
          <cell r="Y23">
            <v>288</v>
          </cell>
          <cell r="Z23">
            <v>291</v>
          </cell>
          <cell r="AA23">
            <v>288</v>
          </cell>
          <cell r="AB23">
            <v>290</v>
          </cell>
        </row>
        <row r="24">
          <cell r="C24" t="str">
            <v>Belarus</v>
          </cell>
          <cell r="D24">
            <v>441</v>
          </cell>
          <cell r="E24">
            <v>434</v>
          </cell>
          <cell r="F24">
            <v>436</v>
          </cell>
          <cell r="G24">
            <v>432</v>
          </cell>
          <cell r="H24">
            <v>428</v>
          </cell>
          <cell r="I24">
            <v>431</v>
          </cell>
          <cell r="J24">
            <v>426</v>
          </cell>
          <cell r="K24">
            <v>425</v>
          </cell>
          <cell r="L24">
            <v>426</v>
          </cell>
          <cell r="M24">
            <v>428</v>
          </cell>
          <cell r="N24">
            <v>429</v>
          </cell>
          <cell r="O24">
            <v>428</v>
          </cell>
          <cell r="P24">
            <v>425</v>
          </cell>
          <cell r="Q24">
            <v>430</v>
          </cell>
          <cell r="R24">
            <v>431</v>
          </cell>
          <cell r="S24">
            <v>448</v>
          </cell>
          <cell r="T24">
            <v>460</v>
          </cell>
          <cell r="U24">
            <v>449</v>
          </cell>
          <cell r="V24">
            <v>453</v>
          </cell>
          <cell r="W24">
            <v>457</v>
          </cell>
          <cell r="X24">
            <v>466</v>
          </cell>
          <cell r="Y24">
            <v>500</v>
          </cell>
          <cell r="Z24">
            <v>502</v>
          </cell>
          <cell r="AA24">
            <v>505</v>
          </cell>
          <cell r="AB24">
            <v>510</v>
          </cell>
        </row>
        <row r="25">
          <cell r="C25" t="str">
            <v>Belgium</v>
          </cell>
          <cell r="D25">
            <v>2221</v>
          </cell>
          <cell r="E25">
            <v>2232</v>
          </cell>
          <cell r="F25">
            <v>2253</v>
          </cell>
          <cell r="G25">
            <v>2271</v>
          </cell>
          <cell r="H25">
            <v>2297</v>
          </cell>
          <cell r="I25">
            <v>2182</v>
          </cell>
          <cell r="J25">
            <v>2346</v>
          </cell>
          <cell r="K25">
            <v>2322</v>
          </cell>
          <cell r="L25">
            <v>2337</v>
          </cell>
          <cell r="M25">
            <v>2322</v>
          </cell>
          <cell r="N25">
            <v>2322</v>
          </cell>
          <cell r="O25">
            <v>2357</v>
          </cell>
          <cell r="P25">
            <v>2636</v>
          </cell>
          <cell r="Q25">
            <v>2695</v>
          </cell>
          <cell r="R25">
            <v>2685</v>
          </cell>
          <cell r="S25">
            <v>2707</v>
          </cell>
          <cell r="T25">
            <v>2743</v>
          </cell>
          <cell r="U25">
            <v>2760</v>
          </cell>
          <cell r="V25">
            <v>2746</v>
          </cell>
          <cell r="W25">
            <v>2768</v>
          </cell>
          <cell r="X25">
            <v>2743</v>
          </cell>
          <cell r="Y25">
            <v>2814</v>
          </cell>
          <cell r="Z25">
            <v>2840</v>
          </cell>
          <cell r="AA25">
            <v>2794</v>
          </cell>
          <cell r="AB25">
            <v>2864</v>
          </cell>
        </row>
        <row r="26">
          <cell r="C26" t="str">
            <v>Belize</v>
          </cell>
          <cell r="D26">
            <v>3660</v>
          </cell>
          <cell r="E26">
            <v>3672</v>
          </cell>
          <cell r="F26">
            <v>3684</v>
          </cell>
          <cell r="G26">
            <v>3667</v>
          </cell>
          <cell r="H26">
            <v>3655</v>
          </cell>
          <cell r="I26">
            <v>3731</v>
          </cell>
          <cell r="J26">
            <v>3741</v>
          </cell>
          <cell r="K26">
            <v>3739</v>
          </cell>
          <cell r="L26">
            <v>3733</v>
          </cell>
          <cell r="M26">
            <v>3729</v>
          </cell>
          <cell r="N26">
            <v>3750</v>
          </cell>
          <cell r="O26">
            <v>3756</v>
          </cell>
          <cell r="P26">
            <v>3759</v>
          </cell>
          <cell r="Q26">
            <v>3728</v>
          </cell>
          <cell r="R26">
            <v>3728</v>
          </cell>
          <cell r="S26">
            <v>3725</v>
          </cell>
          <cell r="T26">
            <v>3580</v>
          </cell>
          <cell r="U26">
            <v>3580</v>
          </cell>
          <cell r="V26">
            <v>3571</v>
          </cell>
          <cell r="W26">
            <v>3567</v>
          </cell>
          <cell r="X26">
            <v>3573</v>
          </cell>
          <cell r="Y26">
            <v>3582</v>
          </cell>
          <cell r="Z26">
            <v>3457</v>
          </cell>
          <cell r="AA26">
            <v>3461</v>
          </cell>
          <cell r="AB26">
            <v>3469</v>
          </cell>
        </row>
        <row r="27">
          <cell r="C27" t="str">
            <v>Benin</v>
          </cell>
          <cell r="D27">
            <v>143</v>
          </cell>
          <cell r="E27">
            <v>148</v>
          </cell>
          <cell r="F27">
            <v>148</v>
          </cell>
          <cell r="G27">
            <v>140</v>
          </cell>
          <cell r="H27">
            <v>128</v>
          </cell>
          <cell r="I27">
            <v>130</v>
          </cell>
          <cell r="J27">
            <v>131</v>
          </cell>
          <cell r="K27">
            <v>131</v>
          </cell>
          <cell r="L27">
            <v>127</v>
          </cell>
          <cell r="M27">
            <v>127</v>
          </cell>
          <cell r="N27">
            <v>125</v>
          </cell>
          <cell r="O27">
            <v>118</v>
          </cell>
          <cell r="P27">
            <v>123</v>
          </cell>
          <cell r="Q27">
            <v>130</v>
          </cell>
          <cell r="R27">
            <v>129</v>
          </cell>
          <cell r="S27">
            <v>122</v>
          </cell>
          <cell r="T27">
            <v>120</v>
          </cell>
          <cell r="U27">
            <v>114</v>
          </cell>
          <cell r="V27">
            <v>119</v>
          </cell>
          <cell r="W27">
            <v>114</v>
          </cell>
          <cell r="X27">
            <v>120</v>
          </cell>
          <cell r="Y27">
            <v>114</v>
          </cell>
          <cell r="Z27">
            <v>120</v>
          </cell>
          <cell r="AA27">
            <v>130</v>
          </cell>
          <cell r="AB27">
            <v>131</v>
          </cell>
        </row>
        <row r="28">
          <cell r="C28" t="str">
            <v>Bermuda</v>
          </cell>
          <cell r="D28">
            <v>60</v>
          </cell>
          <cell r="E28">
            <v>58</v>
          </cell>
          <cell r="F28">
            <v>58</v>
          </cell>
          <cell r="G28">
            <v>58</v>
          </cell>
          <cell r="H28">
            <v>58</v>
          </cell>
          <cell r="I28">
            <v>59</v>
          </cell>
          <cell r="J28">
            <v>61</v>
          </cell>
          <cell r="K28">
            <v>61</v>
          </cell>
          <cell r="L28">
            <v>62</v>
          </cell>
          <cell r="M28">
            <v>62</v>
          </cell>
          <cell r="N28">
            <v>63</v>
          </cell>
          <cell r="O28">
            <v>63</v>
          </cell>
          <cell r="P28">
            <v>69</v>
          </cell>
          <cell r="Q28">
            <v>70</v>
          </cell>
          <cell r="R28">
            <v>70</v>
          </cell>
          <cell r="S28">
            <v>70</v>
          </cell>
          <cell r="T28">
            <v>78</v>
          </cell>
          <cell r="U28">
            <v>78</v>
          </cell>
          <cell r="V28">
            <v>78</v>
          </cell>
          <cell r="W28">
            <v>78</v>
          </cell>
          <cell r="X28">
            <v>78</v>
          </cell>
          <cell r="Y28">
            <v>84</v>
          </cell>
          <cell r="Z28">
            <v>90</v>
          </cell>
          <cell r="AA28">
            <v>93</v>
          </cell>
          <cell r="AB28">
            <v>93</v>
          </cell>
        </row>
        <row r="29">
          <cell r="C29" t="str">
            <v>Bhutan</v>
          </cell>
          <cell r="D29">
            <v>90</v>
          </cell>
          <cell r="E29">
            <v>90</v>
          </cell>
          <cell r="F29">
            <v>90</v>
          </cell>
          <cell r="G29">
            <v>86</v>
          </cell>
          <cell r="H29">
            <v>68</v>
          </cell>
          <cell r="I29">
            <v>52</v>
          </cell>
          <cell r="J29">
            <v>52</v>
          </cell>
          <cell r="K29">
            <v>74</v>
          </cell>
          <cell r="L29">
            <v>84</v>
          </cell>
          <cell r="M29">
            <v>78</v>
          </cell>
          <cell r="N29">
            <v>84</v>
          </cell>
          <cell r="O29">
            <v>81</v>
          </cell>
          <cell r="P29">
            <v>80</v>
          </cell>
          <cell r="Q29">
            <v>68</v>
          </cell>
          <cell r="R29">
            <v>81</v>
          </cell>
          <cell r="S29">
            <v>80</v>
          </cell>
          <cell r="T29">
            <v>81</v>
          </cell>
          <cell r="U29">
            <v>77</v>
          </cell>
          <cell r="V29">
            <v>87</v>
          </cell>
          <cell r="W29">
            <v>91</v>
          </cell>
          <cell r="X29">
            <v>92</v>
          </cell>
          <cell r="Y29">
            <v>93</v>
          </cell>
          <cell r="Z29">
            <v>110</v>
          </cell>
          <cell r="AA29">
            <v>105</v>
          </cell>
          <cell r="AB29">
            <v>96</v>
          </cell>
        </row>
        <row r="30">
          <cell r="C30" t="str">
            <v>Bolivia</v>
          </cell>
          <cell r="D30">
            <v>1429</v>
          </cell>
          <cell r="E30">
            <v>1414</v>
          </cell>
          <cell r="F30">
            <v>1418</v>
          </cell>
          <cell r="G30">
            <v>1417</v>
          </cell>
          <cell r="H30">
            <v>1401</v>
          </cell>
          <cell r="I30">
            <v>1394</v>
          </cell>
          <cell r="J30">
            <v>1387</v>
          </cell>
          <cell r="K30">
            <v>1390</v>
          </cell>
          <cell r="L30">
            <v>1372</v>
          </cell>
          <cell r="M30">
            <v>1375</v>
          </cell>
          <cell r="N30">
            <v>1356</v>
          </cell>
          <cell r="O30">
            <v>1313</v>
          </cell>
          <cell r="P30">
            <v>1342</v>
          </cell>
          <cell r="Q30">
            <v>1355</v>
          </cell>
          <cell r="R30">
            <v>1352</v>
          </cell>
          <cell r="S30">
            <v>1363</v>
          </cell>
          <cell r="T30">
            <v>1359</v>
          </cell>
          <cell r="U30">
            <v>1362</v>
          </cell>
          <cell r="V30">
            <v>1366</v>
          </cell>
          <cell r="W30">
            <v>1366</v>
          </cell>
          <cell r="X30">
            <v>1375</v>
          </cell>
          <cell r="Y30">
            <v>1374</v>
          </cell>
          <cell r="Z30">
            <v>1356</v>
          </cell>
          <cell r="AA30">
            <v>1395</v>
          </cell>
          <cell r="AB30">
            <v>1370</v>
          </cell>
        </row>
        <row r="31">
          <cell r="C31" t="str">
            <v>Bonaire, Saint Eustatius and Saba</v>
          </cell>
          <cell r="D31">
            <v>174</v>
          </cell>
          <cell r="E31">
            <v>174</v>
          </cell>
          <cell r="F31">
            <v>174</v>
          </cell>
          <cell r="G31">
            <v>172</v>
          </cell>
          <cell r="H31">
            <v>163</v>
          </cell>
          <cell r="I31">
            <v>172</v>
          </cell>
          <cell r="J31">
            <v>172</v>
          </cell>
          <cell r="K31">
            <v>152</v>
          </cell>
          <cell r="L31">
            <v>153</v>
          </cell>
          <cell r="M31">
            <v>154</v>
          </cell>
          <cell r="N31">
            <v>155</v>
          </cell>
          <cell r="O31">
            <v>153</v>
          </cell>
          <cell r="P31">
            <v>153</v>
          </cell>
          <cell r="Q31">
            <v>153</v>
          </cell>
          <cell r="R31">
            <v>173</v>
          </cell>
          <cell r="S31">
            <v>168</v>
          </cell>
          <cell r="T31">
            <v>167</v>
          </cell>
          <cell r="U31">
            <v>165</v>
          </cell>
          <cell r="V31">
            <v>168</v>
          </cell>
          <cell r="W31">
            <v>193</v>
          </cell>
          <cell r="X31">
            <v>192</v>
          </cell>
          <cell r="Y31">
            <v>192</v>
          </cell>
          <cell r="Z31">
            <v>193</v>
          </cell>
          <cell r="AA31">
            <v>192</v>
          </cell>
          <cell r="AB31">
            <v>192</v>
          </cell>
        </row>
        <row r="32">
          <cell r="C32" t="str">
            <v>Bosnia and Herzegovina</v>
          </cell>
          <cell r="D32">
            <v>118</v>
          </cell>
          <cell r="E32">
            <v>108</v>
          </cell>
          <cell r="F32">
            <v>108</v>
          </cell>
          <cell r="G32">
            <v>108</v>
          </cell>
          <cell r="H32">
            <v>108</v>
          </cell>
          <cell r="I32">
            <v>109</v>
          </cell>
          <cell r="J32">
            <v>108</v>
          </cell>
          <cell r="K32">
            <v>109</v>
          </cell>
          <cell r="L32">
            <v>112</v>
          </cell>
          <cell r="M32">
            <v>111</v>
          </cell>
          <cell r="N32">
            <v>112</v>
          </cell>
          <cell r="O32">
            <v>121</v>
          </cell>
          <cell r="P32">
            <v>151</v>
          </cell>
          <cell r="Q32">
            <v>149</v>
          </cell>
          <cell r="R32">
            <v>150</v>
          </cell>
          <cell r="S32">
            <v>154</v>
          </cell>
          <cell r="T32">
            <v>155</v>
          </cell>
          <cell r="U32">
            <v>141</v>
          </cell>
          <cell r="V32">
            <v>143</v>
          </cell>
          <cell r="W32">
            <v>142</v>
          </cell>
          <cell r="X32">
            <v>149</v>
          </cell>
          <cell r="Y32">
            <v>169</v>
          </cell>
          <cell r="Z32">
            <v>172</v>
          </cell>
          <cell r="AA32">
            <v>180</v>
          </cell>
          <cell r="AB32">
            <v>187</v>
          </cell>
        </row>
        <row r="33">
          <cell r="C33" t="str">
            <v>Botswana</v>
          </cell>
          <cell r="D33">
            <v>196</v>
          </cell>
          <cell r="E33">
            <v>202</v>
          </cell>
          <cell r="F33">
            <v>203</v>
          </cell>
          <cell r="G33">
            <v>202</v>
          </cell>
          <cell r="H33">
            <v>203</v>
          </cell>
          <cell r="I33">
            <v>200</v>
          </cell>
          <cell r="J33">
            <v>201</v>
          </cell>
          <cell r="K33">
            <v>205</v>
          </cell>
          <cell r="L33">
            <v>197</v>
          </cell>
          <cell r="M33">
            <v>197</v>
          </cell>
          <cell r="N33">
            <v>192</v>
          </cell>
          <cell r="O33">
            <v>193</v>
          </cell>
          <cell r="P33">
            <v>195</v>
          </cell>
          <cell r="Q33">
            <v>183</v>
          </cell>
          <cell r="R33">
            <v>184</v>
          </cell>
          <cell r="S33">
            <v>194</v>
          </cell>
          <cell r="T33">
            <v>157</v>
          </cell>
          <cell r="U33">
            <v>159</v>
          </cell>
          <cell r="V33">
            <v>169</v>
          </cell>
          <cell r="W33">
            <v>170</v>
          </cell>
          <cell r="X33">
            <v>181</v>
          </cell>
          <cell r="Y33">
            <v>192</v>
          </cell>
          <cell r="Z33">
            <v>178</v>
          </cell>
          <cell r="AA33">
            <v>198</v>
          </cell>
          <cell r="AB33">
            <v>201</v>
          </cell>
        </row>
        <row r="34">
          <cell r="C34" t="str">
            <v>Brazil</v>
          </cell>
          <cell r="D34">
            <v>19505</v>
          </cell>
          <cell r="E34">
            <v>19495</v>
          </cell>
          <cell r="F34">
            <v>19338</v>
          </cell>
          <cell r="G34">
            <v>19064</v>
          </cell>
          <cell r="H34">
            <v>18306</v>
          </cell>
          <cell r="I34">
            <v>18388</v>
          </cell>
          <cell r="J34">
            <v>18220</v>
          </cell>
          <cell r="K34">
            <v>17496</v>
          </cell>
          <cell r="L34">
            <v>16311</v>
          </cell>
          <cell r="M34">
            <v>17952</v>
          </cell>
          <cell r="N34">
            <v>17907</v>
          </cell>
          <cell r="O34">
            <v>17798</v>
          </cell>
          <cell r="P34">
            <v>17176</v>
          </cell>
          <cell r="Q34">
            <v>17122</v>
          </cell>
          <cell r="R34">
            <v>16226</v>
          </cell>
          <cell r="S34">
            <v>16345</v>
          </cell>
          <cell r="T34">
            <v>15196</v>
          </cell>
          <cell r="U34">
            <v>16434</v>
          </cell>
          <cell r="V34">
            <v>16942</v>
          </cell>
          <cell r="W34">
            <v>16778</v>
          </cell>
          <cell r="X34">
            <v>16983</v>
          </cell>
          <cell r="Y34">
            <v>16358</v>
          </cell>
          <cell r="Z34">
            <v>17119</v>
          </cell>
          <cell r="AA34">
            <v>14896</v>
          </cell>
          <cell r="AB34">
            <v>16457</v>
          </cell>
        </row>
        <row r="35">
          <cell r="C35" t="str">
            <v>Brunei Darussalam</v>
          </cell>
          <cell r="D35">
            <v>149</v>
          </cell>
          <cell r="E35">
            <v>153</v>
          </cell>
          <cell r="F35">
            <v>159</v>
          </cell>
          <cell r="G35">
            <v>161</v>
          </cell>
          <cell r="H35">
            <v>162</v>
          </cell>
          <cell r="I35">
            <v>163</v>
          </cell>
          <cell r="J35">
            <v>162</v>
          </cell>
          <cell r="K35">
            <v>162</v>
          </cell>
          <cell r="L35">
            <v>158</v>
          </cell>
          <cell r="M35">
            <v>163</v>
          </cell>
          <cell r="N35">
            <v>165</v>
          </cell>
          <cell r="O35">
            <v>167</v>
          </cell>
          <cell r="P35">
            <v>161</v>
          </cell>
          <cell r="Q35">
            <v>164</v>
          </cell>
          <cell r="R35">
            <v>163</v>
          </cell>
          <cell r="S35">
            <v>165</v>
          </cell>
          <cell r="T35">
            <v>167</v>
          </cell>
          <cell r="U35">
            <v>155</v>
          </cell>
          <cell r="V35">
            <v>154</v>
          </cell>
          <cell r="W35">
            <v>158</v>
          </cell>
          <cell r="X35">
            <v>164</v>
          </cell>
          <cell r="Y35">
            <v>166</v>
          </cell>
          <cell r="Z35">
            <v>164</v>
          </cell>
          <cell r="AA35">
            <v>165</v>
          </cell>
          <cell r="AB35">
            <v>166</v>
          </cell>
        </row>
        <row r="36">
          <cell r="C36" t="str">
            <v>Bulgaria</v>
          </cell>
          <cell r="D36">
            <v>576</v>
          </cell>
          <cell r="E36">
            <v>553</v>
          </cell>
          <cell r="F36">
            <v>546</v>
          </cell>
          <cell r="G36">
            <v>541</v>
          </cell>
          <cell r="H36">
            <v>548</v>
          </cell>
          <cell r="I36">
            <v>560</v>
          </cell>
          <cell r="J36">
            <v>565</v>
          </cell>
          <cell r="K36">
            <v>558</v>
          </cell>
          <cell r="L36">
            <v>563</v>
          </cell>
          <cell r="M36">
            <v>559</v>
          </cell>
          <cell r="N36">
            <v>553</v>
          </cell>
          <cell r="O36">
            <v>559</v>
          </cell>
          <cell r="P36">
            <v>599</v>
          </cell>
          <cell r="Q36">
            <v>600</v>
          </cell>
          <cell r="R36">
            <v>617</v>
          </cell>
          <cell r="S36">
            <v>637</v>
          </cell>
          <cell r="T36">
            <v>632</v>
          </cell>
          <cell r="U36">
            <v>651</v>
          </cell>
          <cell r="V36">
            <v>678</v>
          </cell>
          <cell r="W36">
            <v>755</v>
          </cell>
          <cell r="X36">
            <v>839</v>
          </cell>
          <cell r="Y36">
            <v>927</v>
          </cell>
          <cell r="Z36">
            <v>1002</v>
          </cell>
          <cell r="AA36">
            <v>1062</v>
          </cell>
          <cell r="AB36">
            <v>1097</v>
          </cell>
        </row>
        <row r="37">
          <cell r="C37" t="str">
            <v>Burkina Faso</v>
          </cell>
          <cell r="D37">
            <v>119</v>
          </cell>
          <cell r="E37">
            <v>119</v>
          </cell>
          <cell r="F37">
            <v>127</v>
          </cell>
          <cell r="G37">
            <v>126</v>
          </cell>
          <cell r="H37">
            <v>126</v>
          </cell>
          <cell r="I37">
            <v>126</v>
          </cell>
          <cell r="J37">
            <v>123</v>
          </cell>
          <cell r="K37">
            <v>125</v>
          </cell>
          <cell r="L37">
            <v>120</v>
          </cell>
          <cell r="M37">
            <v>120</v>
          </cell>
          <cell r="N37">
            <v>119</v>
          </cell>
          <cell r="O37">
            <v>119</v>
          </cell>
          <cell r="P37">
            <v>120</v>
          </cell>
          <cell r="Q37">
            <v>120</v>
          </cell>
          <cell r="R37">
            <v>120</v>
          </cell>
          <cell r="S37">
            <v>120</v>
          </cell>
          <cell r="T37">
            <v>122</v>
          </cell>
          <cell r="U37">
            <v>123</v>
          </cell>
          <cell r="V37">
            <v>123</v>
          </cell>
          <cell r="W37">
            <v>123</v>
          </cell>
          <cell r="X37">
            <v>121</v>
          </cell>
          <cell r="Y37">
            <v>122</v>
          </cell>
          <cell r="Z37">
            <v>120</v>
          </cell>
          <cell r="AA37">
            <v>120</v>
          </cell>
          <cell r="AB37">
            <v>119</v>
          </cell>
        </row>
        <row r="38">
          <cell r="C38" t="str">
            <v>Burundi</v>
          </cell>
          <cell r="D38">
            <v>42</v>
          </cell>
          <cell r="E38">
            <v>42</v>
          </cell>
          <cell r="F38">
            <v>37</v>
          </cell>
          <cell r="G38">
            <v>35</v>
          </cell>
          <cell r="H38">
            <v>31</v>
          </cell>
          <cell r="I38">
            <v>31</v>
          </cell>
          <cell r="J38">
            <v>33</v>
          </cell>
          <cell r="K38">
            <v>33</v>
          </cell>
          <cell r="L38">
            <v>29</v>
          </cell>
          <cell r="M38">
            <v>29</v>
          </cell>
          <cell r="N38">
            <v>31</v>
          </cell>
          <cell r="O38">
            <v>33</v>
          </cell>
          <cell r="P38">
            <v>30</v>
          </cell>
          <cell r="Q38">
            <v>29</v>
          </cell>
          <cell r="R38">
            <v>29</v>
          </cell>
          <cell r="S38">
            <v>35</v>
          </cell>
          <cell r="T38">
            <v>28</v>
          </cell>
          <cell r="U38">
            <v>33</v>
          </cell>
          <cell r="V38">
            <v>45</v>
          </cell>
          <cell r="W38">
            <v>45</v>
          </cell>
          <cell r="X38">
            <v>44</v>
          </cell>
          <cell r="Y38">
            <v>42</v>
          </cell>
          <cell r="Z38">
            <v>41</v>
          </cell>
          <cell r="AA38">
            <v>42</v>
          </cell>
          <cell r="AB38">
            <v>44</v>
          </cell>
        </row>
        <row r="39">
          <cell r="C39" t="str">
            <v>Cambodia</v>
          </cell>
          <cell r="D39">
            <v>1139</v>
          </cell>
          <cell r="E39">
            <v>1133</v>
          </cell>
          <cell r="F39">
            <v>1157</v>
          </cell>
          <cell r="G39">
            <v>1186</v>
          </cell>
          <cell r="H39">
            <v>1198</v>
          </cell>
          <cell r="I39">
            <v>1193</v>
          </cell>
          <cell r="J39">
            <v>1182</v>
          </cell>
          <cell r="K39">
            <v>1163</v>
          </cell>
          <cell r="L39">
            <v>1150</v>
          </cell>
          <cell r="M39">
            <v>1120</v>
          </cell>
          <cell r="N39">
            <v>1109</v>
          </cell>
          <cell r="O39">
            <v>1103</v>
          </cell>
          <cell r="P39">
            <v>1033</v>
          </cell>
          <cell r="Q39">
            <v>1040</v>
          </cell>
          <cell r="R39">
            <v>1041</v>
          </cell>
          <cell r="S39">
            <v>1028</v>
          </cell>
          <cell r="T39">
            <v>1030</v>
          </cell>
          <cell r="U39">
            <v>1011</v>
          </cell>
          <cell r="V39">
            <v>1020</v>
          </cell>
          <cell r="W39">
            <v>1039</v>
          </cell>
          <cell r="X39">
            <v>1010</v>
          </cell>
          <cell r="Y39">
            <v>1004</v>
          </cell>
          <cell r="Z39">
            <v>1003</v>
          </cell>
          <cell r="AA39">
            <v>1029</v>
          </cell>
          <cell r="AB39">
            <v>1057</v>
          </cell>
        </row>
        <row r="40">
          <cell r="C40" t="str">
            <v>Cameroon</v>
          </cell>
          <cell r="D40">
            <v>379</v>
          </cell>
          <cell r="E40">
            <v>372</v>
          </cell>
          <cell r="F40">
            <v>369</v>
          </cell>
          <cell r="G40">
            <v>370</v>
          </cell>
          <cell r="H40">
            <v>371</v>
          </cell>
          <cell r="I40">
            <v>378</v>
          </cell>
          <cell r="J40">
            <v>339</v>
          </cell>
          <cell r="K40">
            <v>332</v>
          </cell>
          <cell r="L40">
            <v>342</v>
          </cell>
          <cell r="M40">
            <v>338</v>
          </cell>
          <cell r="N40">
            <v>342</v>
          </cell>
          <cell r="O40">
            <v>326</v>
          </cell>
          <cell r="P40">
            <v>322</v>
          </cell>
          <cell r="Q40">
            <v>316</v>
          </cell>
          <cell r="R40">
            <v>334</v>
          </cell>
          <cell r="S40">
            <v>336</v>
          </cell>
          <cell r="T40">
            <v>352</v>
          </cell>
          <cell r="U40">
            <v>339</v>
          </cell>
          <cell r="V40">
            <v>333</v>
          </cell>
          <cell r="W40">
            <v>346</v>
          </cell>
          <cell r="X40">
            <v>343</v>
          </cell>
          <cell r="Y40">
            <v>354</v>
          </cell>
          <cell r="Z40">
            <v>367</v>
          </cell>
          <cell r="AA40">
            <v>371</v>
          </cell>
          <cell r="AB40">
            <v>362</v>
          </cell>
        </row>
        <row r="41">
          <cell r="C41" t="str">
            <v>Canada</v>
          </cell>
          <cell r="D41">
            <v>25601</v>
          </cell>
          <cell r="E41">
            <v>25345</v>
          </cell>
          <cell r="F41">
            <v>25340</v>
          </cell>
          <cell r="G41">
            <v>25315</v>
          </cell>
          <cell r="H41">
            <v>25404</v>
          </cell>
          <cell r="I41">
            <v>25698</v>
          </cell>
          <cell r="J41">
            <v>25895</v>
          </cell>
          <cell r="K41">
            <v>26124</v>
          </cell>
          <cell r="L41">
            <v>26247</v>
          </cell>
          <cell r="M41">
            <v>26228</v>
          </cell>
          <cell r="N41">
            <v>26130</v>
          </cell>
          <cell r="O41">
            <v>26120</v>
          </cell>
          <cell r="P41">
            <v>26244</v>
          </cell>
          <cell r="Q41">
            <v>26087</v>
          </cell>
          <cell r="R41">
            <v>25583</v>
          </cell>
          <cell r="S41">
            <v>25784</v>
          </cell>
          <cell r="T41">
            <v>25825</v>
          </cell>
          <cell r="U41">
            <v>25909</v>
          </cell>
          <cell r="V41">
            <v>25840</v>
          </cell>
          <cell r="W41">
            <v>26103</v>
          </cell>
          <cell r="X41">
            <v>26293</v>
          </cell>
          <cell r="Y41">
            <v>26813</v>
          </cell>
          <cell r="Z41">
            <v>26974</v>
          </cell>
          <cell r="AA41">
            <v>27313</v>
          </cell>
          <cell r="AB41">
            <v>27500</v>
          </cell>
        </row>
        <row r="42">
          <cell r="C42" t="str">
            <v>Cape Verde</v>
          </cell>
          <cell r="D42">
            <v>341</v>
          </cell>
          <cell r="E42">
            <v>331</v>
          </cell>
          <cell r="F42">
            <v>329</v>
          </cell>
          <cell r="G42">
            <v>327</v>
          </cell>
          <cell r="H42">
            <v>328</v>
          </cell>
          <cell r="I42">
            <v>321</v>
          </cell>
          <cell r="J42">
            <v>328</v>
          </cell>
          <cell r="K42">
            <v>339</v>
          </cell>
          <cell r="L42">
            <v>335</v>
          </cell>
          <cell r="M42">
            <v>325</v>
          </cell>
          <cell r="N42">
            <v>319</v>
          </cell>
          <cell r="O42">
            <v>319</v>
          </cell>
          <cell r="P42">
            <v>316</v>
          </cell>
          <cell r="Q42">
            <v>316</v>
          </cell>
          <cell r="R42">
            <v>311</v>
          </cell>
          <cell r="S42">
            <v>302</v>
          </cell>
          <cell r="T42">
            <v>280</v>
          </cell>
          <cell r="U42">
            <v>269</v>
          </cell>
          <cell r="V42">
            <v>265</v>
          </cell>
          <cell r="W42">
            <v>259</v>
          </cell>
          <cell r="X42">
            <v>255</v>
          </cell>
          <cell r="Y42">
            <v>259</v>
          </cell>
          <cell r="Z42">
            <v>264</v>
          </cell>
          <cell r="AA42">
            <v>272</v>
          </cell>
          <cell r="AB42">
            <v>278</v>
          </cell>
        </row>
        <row r="43">
          <cell r="C43" t="str">
            <v>Cayman Islands</v>
          </cell>
          <cell r="D43">
            <v>304</v>
          </cell>
          <cell r="E43">
            <v>303</v>
          </cell>
          <cell r="F43">
            <v>304</v>
          </cell>
          <cell r="G43">
            <v>303</v>
          </cell>
          <cell r="H43">
            <v>303</v>
          </cell>
          <cell r="I43">
            <v>313</v>
          </cell>
          <cell r="J43">
            <v>314</v>
          </cell>
          <cell r="K43">
            <v>315</v>
          </cell>
          <cell r="L43">
            <v>333</v>
          </cell>
          <cell r="M43">
            <v>340</v>
          </cell>
          <cell r="N43">
            <v>339</v>
          </cell>
          <cell r="O43">
            <v>338</v>
          </cell>
          <cell r="P43">
            <v>318</v>
          </cell>
          <cell r="Q43">
            <v>316</v>
          </cell>
          <cell r="R43">
            <v>322</v>
          </cell>
          <cell r="S43">
            <v>324</v>
          </cell>
          <cell r="T43">
            <v>306</v>
          </cell>
          <cell r="U43">
            <v>298</v>
          </cell>
          <cell r="V43">
            <v>298</v>
          </cell>
          <cell r="W43">
            <v>300</v>
          </cell>
          <cell r="X43">
            <v>301</v>
          </cell>
          <cell r="Y43">
            <v>305</v>
          </cell>
          <cell r="Z43">
            <v>310</v>
          </cell>
          <cell r="AA43">
            <v>309</v>
          </cell>
          <cell r="AB43">
            <v>313</v>
          </cell>
        </row>
        <row r="44">
          <cell r="C44" t="str">
            <v>Central African Republic</v>
          </cell>
          <cell r="D44">
            <v>36</v>
          </cell>
          <cell r="E44">
            <v>35</v>
          </cell>
          <cell r="F44">
            <v>29</v>
          </cell>
          <cell r="G44">
            <v>32</v>
          </cell>
          <cell r="H44">
            <v>29</v>
          </cell>
          <cell r="I44">
            <v>32</v>
          </cell>
          <cell r="J44">
            <v>30</v>
          </cell>
          <cell r="K44">
            <v>32</v>
          </cell>
          <cell r="L44">
            <v>32</v>
          </cell>
          <cell r="M44">
            <v>30</v>
          </cell>
          <cell r="N44">
            <v>30</v>
          </cell>
          <cell r="O44">
            <v>30</v>
          </cell>
          <cell r="P44">
            <v>35</v>
          </cell>
          <cell r="Q44">
            <v>30</v>
          </cell>
          <cell r="R44">
            <v>34</v>
          </cell>
          <cell r="S44">
            <v>30</v>
          </cell>
          <cell r="T44">
            <v>34</v>
          </cell>
          <cell r="U44">
            <v>29</v>
          </cell>
          <cell r="V44">
            <v>27</v>
          </cell>
          <cell r="W44">
            <v>31</v>
          </cell>
          <cell r="X44">
            <v>31</v>
          </cell>
          <cell r="Y44">
            <v>33</v>
          </cell>
          <cell r="Z44">
            <v>34</v>
          </cell>
          <cell r="AA44">
            <v>36</v>
          </cell>
          <cell r="AB44">
            <v>36</v>
          </cell>
        </row>
        <row r="45">
          <cell r="C45" t="str">
            <v>Chad</v>
          </cell>
          <cell r="D45">
            <v>86</v>
          </cell>
          <cell r="E45">
            <v>103</v>
          </cell>
          <cell r="F45">
            <v>75</v>
          </cell>
          <cell r="G45">
            <v>91</v>
          </cell>
          <cell r="H45">
            <v>73</v>
          </cell>
          <cell r="I45">
            <v>97</v>
          </cell>
          <cell r="J45">
            <v>73</v>
          </cell>
          <cell r="K45">
            <v>86</v>
          </cell>
          <cell r="L45">
            <v>75</v>
          </cell>
          <cell r="M45">
            <v>80</v>
          </cell>
          <cell r="N45">
            <v>81</v>
          </cell>
          <cell r="O45">
            <v>82</v>
          </cell>
          <cell r="P45">
            <v>108</v>
          </cell>
          <cell r="Q45">
            <v>81</v>
          </cell>
          <cell r="R45">
            <v>101</v>
          </cell>
          <cell r="S45">
            <v>86</v>
          </cell>
          <cell r="T45">
            <v>109</v>
          </cell>
          <cell r="U45">
            <v>85</v>
          </cell>
          <cell r="V45">
            <v>105</v>
          </cell>
          <cell r="W45">
            <v>87</v>
          </cell>
          <cell r="X45">
            <v>81</v>
          </cell>
          <cell r="Y45">
            <v>90</v>
          </cell>
          <cell r="Z45">
            <v>90</v>
          </cell>
          <cell r="AA45">
            <v>88</v>
          </cell>
          <cell r="AB45">
            <v>93</v>
          </cell>
        </row>
        <row r="46">
          <cell r="C46" t="str">
            <v>Chile</v>
          </cell>
          <cell r="D46">
            <v>3259</v>
          </cell>
          <cell r="E46">
            <v>3306</v>
          </cell>
          <cell r="F46">
            <v>3277</v>
          </cell>
          <cell r="G46">
            <v>3263</v>
          </cell>
          <cell r="H46">
            <v>3293</v>
          </cell>
          <cell r="I46">
            <v>3304</v>
          </cell>
          <cell r="J46">
            <v>3320</v>
          </cell>
          <cell r="K46">
            <v>3256</v>
          </cell>
          <cell r="L46">
            <v>2781</v>
          </cell>
          <cell r="M46">
            <v>2744</v>
          </cell>
          <cell r="N46">
            <v>2735</v>
          </cell>
          <cell r="O46">
            <v>2717</v>
          </cell>
          <cell r="P46">
            <v>2570</v>
          </cell>
          <cell r="Q46">
            <v>2551</v>
          </cell>
          <cell r="R46">
            <v>2522</v>
          </cell>
          <cell r="S46">
            <v>2511</v>
          </cell>
          <cell r="T46">
            <v>2297</v>
          </cell>
          <cell r="U46">
            <v>2409</v>
          </cell>
          <cell r="V46">
            <v>2415</v>
          </cell>
          <cell r="W46">
            <v>2425</v>
          </cell>
          <cell r="X46">
            <v>2464</v>
          </cell>
          <cell r="Y46">
            <v>2394</v>
          </cell>
          <cell r="Z46">
            <v>2381</v>
          </cell>
          <cell r="AA46">
            <v>2361</v>
          </cell>
          <cell r="AB46">
            <v>2400</v>
          </cell>
        </row>
        <row r="47">
          <cell r="C47" t="str">
            <v>China</v>
          </cell>
          <cell r="D47">
            <v>106621</v>
          </cell>
          <cell r="E47">
            <v>109024</v>
          </cell>
          <cell r="F47">
            <v>113547</v>
          </cell>
          <cell r="G47">
            <v>116147</v>
          </cell>
          <cell r="H47">
            <v>110053</v>
          </cell>
          <cell r="I47">
            <v>116368</v>
          </cell>
          <cell r="J47">
            <v>114363</v>
          </cell>
          <cell r="K47">
            <v>111622</v>
          </cell>
          <cell r="L47">
            <v>108105</v>
          </cell>
          <cell r="M47">
            <v>107255</v>
          </cell>
          <cell r="N47">
            <v>105151</v>
          </cell>
          <cell r="O47">
            <v>105193</v>
          </cell>
          <cell r="P47">
            <v>108927</v>
          </cell>
          <cell r="Q47">
            <v>110945</v>
          </cell>
          <cell r="R47">
            <v>111152</v>
          </cell>
          <cell r="S47">
            <v>109834</v>
          </cell>
          <cell r="T47">
            <v>109887</v>
          </cell>
          <cell r="U47">
            <v>109471</v>
          </cell>
          <cell r="V47">
            <v>109950</v>
          </cell>
          <cell r="W47">
            <v>110282</v>
          </cell>
          <cell r="X47">
            <v>109784</v>
          </cell>
          <cell r="Y47">
            <v>108541</v>
          </cell>
          <cell r="Z47">
            <v>111473</v>
          </cell>
          <cell r="AA47">
            <v>111797</v>
          </cell>
          <cell r="AB47">
            <v>113010</v>
          </cell>
        </row>
        <row r="48">
          <cell r="C48" t="str">
            <v>Chinese Taipei</v>
          </cell>
          <cell r="D48">
            <v>4434</v>
          </cell>
          <cell r="E48">
            <v>4464</v>
          </cell>
          <cell r="F48">
            <v>4563</v>
          </cell>
          <cell r="G48">
            <v>4500</v>
          </cell>
          <cell r="H48">
            <v>4766</v>
          </cell>
          <cell r="I48">
            <v>4638</v>
          </cell>
          <cell r="J48">
            <v>4547</v>
          </cell>
          <cell r="K48">
            <v>4492</v>
          </cell>
          <cell r="L48">
            <v>4506</v>
          </cell>
          <cell r="M48">
            <v>4515</v>
          </cell>
          <cell r="N48">
            <v>4503</v>
          </cell>
          <cell r="O48">
            <v>4535</v>
          </cell>
          <cell r="P48">
            <v>4662</v>
          </cell>
          <cell r="Q48">
            <v>4849</v>
          </cell>
          <cell r="R48">
            <v>4905</v>
          </cell>
          <cell r="S48">
            <v>4968</v>
          </cell>
          <cell r="T48">
            <v>4995</v>
          </cell>
          <cell r="U48">
            <v>4957</v>
          </cell>
          <cell r="V48">
            <v>4993</v>
          </cell>
          <cell r="W48">
            <v>5010</v>
          </cell>
          <cell r="X48">
            <v>5004</v>
          </cell>
          <cell r="Y48">
            <v>4875</v>
          </cell>
          <cell r="Z48">
            <v>5036</v>
          </cell>
          <cell r="AA48">
            <v>5099</v>
          </cell>
          <cell r="AB48">
            <v>5146</v>
          </cell>
        </row>
        <row r="49">
          <cell r="C49" t="str">
            <v>Christmas Island, Indian Ocean</v>
          </cell>
          <cell r="D49">
            <v>3</v>
          </cell>
          <cell r="E49">
            <v>2</v>
          </cell>
          <cell r="F49">
            <v>3</v>
          </cell>
          <cell r="G49">
            <v>2</v>
          </cell>
          <cell r="H49">
            <v>3</v>
          </cell>
          <cell r="I49">
            <v>2</v>
          </cell>
          <cell r="J49">
            <v>3</v>
          </cell>
          <cell r="K49">
            <v>2</v>
          </cell>
          <cell r="L49">
            <v>3</v>
          </cell>
          <cell r="M49">
            <v>2</v>
          </cell>
          <cell r="N49">
            <v>3</v>
          </cell>
          <cell r="O49">
            <v>2</v>
          </cell>
          <cell r="P49">
            <v>3</v>
          </cell>
          <cell r="Q49">
            <v>2</v>
          </cell>
          <cell r="R49">
            <v>3</v>
          </cell>
          <cell r="S49">
            <v>2</v>
          </cell>
          <cell r="T49">
            <v>3</v>
          </cell>
          <cell r="U49">
            <v>2</v>
          </cell>
          <cell r="V49">
            <v>3</v>
          </cell>
          <cell r="W49">
            <v>2</v>
          </cell>
          <cell r="X49">
            <v>3</v>
          </cell>
          <cell r="Y49">
            <v>2</v>
          </cell>
          <cell r="Z49">
            <v>3</v>
          </cell>
          <cell r="AA49">
            <v>2</v>
          </cell>
          <cell r="AB49">
            <v>3</v>
          </cell>
        </row>
        <row r="50">
          <cell r="C50" t="str">
            <v>Cocos (keeling) Islands</v>
          </cell>
          <cell r="D50">
            <v>2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2</v>
          </cell>
          <cell r="K50">
            <v>2</v>
          </cell>
          <cell r="L50">
            <v>2</v>
          </cell>
          <cell r="M50">
            <v>2</v>
          </cell>
          <cell r="N50">
            <v>2</v>
          </cell>
          <cell r="O50">
            <v>2</v>
          </cell>
          <cell r="P50">
            <v>2</v>
          </cell>
          <cell r="Q50">
            <v>2</v>
          </cell>
          <cell r="R50">
            <v>2</v>
          </cell>
          <cell r="S50">
            <v>2</v>
          </cell>
          <cell r="T50">
            <v>2</v>
          </cell>
          <cell r="U50">
            <v>2</v>
          </cell>
          <cell r="V50">
            <v>2</v>
          </cell>
          <cell r="W50">
            <v>2</v>
          </cell>
          <cell r="X50">
            <v>2</v>
          </cell>
          <cell r="Y50">
            <v>2</v>
          </cell>
          <cell r="Z50">
            <v>2</v>
          </cell>
          <cell r="AA50">
            <v>2</v>
          </cell>
          <cell r="AB50">
            <v>2</v>
          </cell>
        </row>
        <row r="51">
          <cell r="C51" t="str">
            <v>Colombia</v>
          </cell>
          <cell r="D51">
            <v>6750</v>
          </cell>
          <cell r="E51">
            <v>6452</v>
          </cell>
          <cell r="F51">
            <v>6458</v>
          </cell>
          <cell r="G51">
            <v>6439</v>
          </cell>
          <cell r="H51">
            <v>6340</v>
          </cell>
          <cell r="I51">
            <v>6316</v>
          </cell>
          <cell r="J51">
            <v>6369</v>
          </cell>
          <cell r="K51">
            <v>6411</v>
          </cell>
          <cell r="L51">
            <v>6464</v>
          </cell>
          <cell r="M51">
            <v>6417</v>
          </cell>
          <cell r="N51">
            <v>6347</v>
          </cell>
          <cell r="O51">
            <v>6364</v>
          </cell>
          <cell r="P51">
            <v>6358</v>
          </cell>
          <cell r="Q51">
            <v>6426</v>
          </cell>
          <cell r="R51">
            <v>6015</v>
          </cell>
          <cell r="S51">
            <v>6303</v>
          </cell>
          <cell r="T51">
            <v>6208</v>
          </cell>
          <cell r="U51">
            <v>6281</v>
          </cell>
          <cell r="V51">
            <v>6325</v>
          </cell>
          <cell r="W51">
            <v>6324</v>
          </cell>
          <cell r="X51">
            <v>6299</v>
          </cell>
          <cell r="Y51">
            <v>6445</v>
          </cell>
          <cell r="Z51">
            <v>6719</v>
          </cell>
          <cell r="AA51">
            <v>6824</v>
          </cell>
          <cell r="AB51">
            <v>6800</v>
          </cell>
        </row>
        <row r="52">
          <cell r="C52" t="str">
            <v>Comoros</v>
          </cell>
          <cell r="D52">
            <v>287</v>
          </cell>
          <cell r="E52">
            <v>285</v>
          </cell>
          <cell r="F52">
            <v>282</v>
          </cell>
          <cell r="G52">
            <v>284</v>
          </cell>
          <cell r="H52">
            <v>288</v>
          </cell>
          <cell r="I52">
            <v>286</v>
          </cell>
          <cell r="J52">
            <v>286</v>
          </cell>
          <cell r="K52">
            <v>286</v>
          </cell>
          <cell r="L52">
            <v>283</v>
          </cell>
          <cell r="M52">
            <v>284</v>
          </cell>
          <cell r="N52">
            <v>284</v>
          </cell>
          <cell r="O52">
            <v>195</v>
          </cell>
          <cell r="P52">
            <v>223</v>
          </cell>
          <cell r="Q52">
            <v>221</v>
          </cell>
          <cell r="R52">
            <v>201</v>
          </cell>
          <cell r="S52">
            <v>198</v>
          </cell>
          <cell r="T52">
            <v>202</v>
          </cell>
          <cell r="U52">
            <v>202</v>
          </cell>
          <cell r="V52">
            <v>200</v>
          </cell>
          <cell r="W52">
            <v>200</v>
          </cell>
          <cell r="X52">
            <v>200</v>
          </cell>
          <cell r="Y52">
            <v>195</v>
          </cell>
          <cell r="Z52">
            <v>203</v>
          </cell>
          <cell r="AA52">
            <v>204</v>
          </cell>
          <cell r="AB52">
            <v>201</v>
          </cell>
        </row>
        <row r="53">
          <cell r="C53" t="str">
            <v>Congo</v>
          </cell>
          <cell r="D53">
            <v>162</v>
          </cell>
          <cell r="E53">
            <v>160</v>
          </cell>
          <cell r="F53">
            <v>174</v>
          </cell>
          <cell r="G53">
            <v>158</v>
          </cell>
          <cell r="H53">
            <v>155</v>
          </cell>
          <cell r="I53">
            <v>156</v>
          </cell>
          <cell r="J53">
            <v>163</v>
          </cell>
          <cell r="K53">
            <v>161</v>
          </cell>
          <cell r="L53">
            <v>161</v>
          </cell>
          <cell r="M53">
            <v>162</v>
          </cell>
          <cell r="N53">
            <v>156</v>
          </cell>
          <cell r="O53">
            <v>151</v>
          </cell>
          <cell r="P53">
            <v>153</v>
          </cell>
          <cell r="Q53">
            <v>155</v>
          </cell>
          <cell r="R53">
            <v>156</v>
          </cell>
          <cell r="S53">
            <v>153</v>
          </cell>
          <cell r="T53">
            <v>156</v>
          </cell>
          <cell r="U53">
            <v>152</v>
          </cell>
          <cell r="V53">
            <v>148</v>
          </cell>
          <cell r="W53">
            <v>151</v>
          </cell>
          <cell r="X53">
            <v>162</v>
          </cell>
          <cell r="Y53">
            <v>153</v>
          </cell>
          <cell r="Z53">
            <v>154</v>
          </cell>
          <cell r="AA53">
            <v>153</v>
          </cell>
          <cell r="AB53">
            <v>158</v>
          </cell>
        </row>
        <row r="54">
          <cell r="C54" t="str">
            <v>Congo Democratic Republic of</v>
          </cell>
          <cell r="D54">
            <v>334</v>
          </cell>
          <cell r="E54">
            <v>321</v>
          </cell>
          <cell r="F54">
            <v>317</v>
          </cell>
          <cell r="G54">
            <v>311</v>
          </cell>
          <cell r="H54">
            <v>310</v>
          </cell>
          <cell r="I54">
            <v>302</v>
          </cell>
          <cell r="J54">
            <v>305</v>
          </cell>
          <cell r="K54">
            <v>308</v>
          </cell>
          <cell r="L54">
            <v>309</v>
          </cell>
          <cell r="M54">
            <v>314</v>
          </cell>
          <cell r="N54">
            <v>263</v>
          </cell>
          <cell r="O54">
            <v>214</v>
          </cell>
          <cell r="P54">
            <v>261</v>
          </cell>
          <cell r="Q54">
            <v>283</v>
          </cell>
          <cell r="R54">
            <v>284</v>
          </cell>
          <cell r="S54">
            <v>257</v>
          </cell>
          <cell r="T54">
            <v>262</v>
          </cell>
          <cell r="U54">
            <v>262</v>
          </cell>
          <cell r="V54">
            <v>255</v>
          </cell>
          <cell r="W54">
            <v>253</v>
          </cell>
          <cell r="X54">
            <v>243</v>
          </cell>
          <cell r="Y54">
            <v>255</v>
          </cell>
          <cell r="Z54">
            <v>274</v>
          </cell>
          <cell r="AA54">
            <v>274</v>
          </cell>
          <cell r="AB54">
            <v>271</v>
          </cell>
        </row>
        <row r="55">
          <cell r="C55" t="str">
            <v>Cook Islands</v>
          </cell>
          <cell r="D55">
            <v>81</v>
          </cell>
          <cell r="E55">
            <v>71</v>
          </cell>
          <cell r="F55">
            <v>70</v>
          </cell>
          <cell r="G55">
            <v>68</v>
          </cell>
          <cell r="H55">
            <v>64</v>
          </cell>
          <cell r="I55">
            <v>64</v>
          </cell>
          <cell r="J55">
            <v>64</v>
          </cell>
          <cell r="K55">
            <v>65</v>
          </cell>
          <cell r="L55">
            <v>67</v>
          </cell>
          <cell r="M55">
            <v>67</v>
          </cell>
          <cell r="N55">
            <v>67</v>
          </cell>
          <cell r="O55">
            <v>69</v>
          </cell>
          <cell r="P55">
            <v>72</v>
          </cell>
          <cell r="Q55">
            <v>77</v>
          </cell>
          <cell r="R55">
            <v>77</v>
          </cell>
          <cell r="S55">
            <v>78</v>
          </cell>
          <cell r="T55">
            <v>76</v>
          </cell>
          <cell r="U55">
            <v>76</v>
          </cell>
          <cell r="V55">
            <v>76</v>
          </cell>
          <cell r="W55">
            <v>76</v>
          </cell>
          <cell r="X55">
            <v>77</v>
          </cell>
          <cell r="Y55">
            <v>77</v>
          </cell>
          <cell r="Z55">
            <v>76</v>
          </cell>
          <cell r="AA55">
            <v>80</v>
          </cell>
          <cell r="AB55">
            <v>82</v>
          </cell>
        </row>
        <row r="56">
          <cell r="C56" t="str">
            <v>Costa Rica</v>
          </cell>
          <cell r="D56">
            <v>1428</v>
          </cell>
          <cell r="E56">
            <v>1428</v>
          </cell>
          <cell r="F56">
            <v>1432</v>
          </cell>
          <cell r="G56">
            <v>1430</v>
          </cell>
          <cell r="H56">
            <v>1425</v>
          </cell>
          <cell r="I56">
            <v>1432</v>
          </cell>
          <cell r="J56">
            <v>1439</v>
          </cell>
          <cell r="K56">
            <v>1437</v>
          </cell>
          <cell r="L56">
            <v>1449</v>
          </cell>
          <cell r="M56">
            <v>1442</v>
          </cell>
          <cell r="N56">
            <v>1436</v>
          </cell>
          <cell r="O56">
            <v>1422</v>
          </cell>
          <cell r="P56">
            <v>1387</v>
          </cell>
          <cell r="Q56">
            <v>1378</v>
          </cell>
          <cell r="R56">
            <v>1379</v>
          </cell>
          <cell r="S56">
            <v>1374</v>
          </cell>
          <cell r="T56">
            <v>1283</v>
          </cell>
          <cell r="U56">
            <v>1252</v>
          </cell>
          <cell r="V56">
            <v>1321</v>
          </cell>
          <cell r="W56">
            <v>1321</v>
          </cell>
          <cell r="X56">
            <v>1321</v>
          </cell>
          <cell r="Y56">
            <v>1346</v>
          </cell>
          <cell r="Z56">
            <v>1352</v>
          </cell>
          <cell r="AA56">
            <v>1353</v>
          </cell>
          <cell r="AB56">
            <v>1353</v>
          </cell>
        </row>
        <row r="57">
          <cell r="C57" t="str">
            <v>Cote D'Ivoire</v>
          </cell>
          <cell r="D57">
            <v>365</v>
          </cell>
          <cell r="E57">
            <v>363</v>
          </cell>
          <cell r="F57">
            <v>360</v>
          </cell>
          <cell r="G57">
            <v>360</v>
          </cell>
          <cell r="H57">
            <v>353</v>
          </cell>
          <cell r="I57">
            <v>350</v>
          </cell>
          <cell r="J57">
            <v>353</v>
          </cell>
          <cell r="K57">
            <v>348</v>
          </cell>
          <cell r="L57">
            <v>351</v>
          </cell>
          <cell r="M57">
            <v>344</v>
          </cell>
          <cell r="N57">
            <v>349</v>
          </cell>
          <cell r="O57">
            <v>341</v>
          </cell>
          <cell r="P57">
            <v>343</v>
          </cell>
          <cell r="Q57">
            <v>347</v>
          </cell>
          <cell r="R57">
            <v>349</v>
          </cell>
          <cell r="S57">
            <v>349</v>
          </cell>
          <cell r="T57">
            <v>346</v>
          </cell>
          <cell r="U57">
            <v>345</v>
          </cell>
          <cell r="V57">
            <v>344</v>
          </cell>
          <cell r="W57">
            <v>344</v>
          </cell>
          <cell r="X57">
            <v>346</v>
          </cell>
          <cell r="Y57">
            <v>334</v>
          </cell>
          <cell r="Z57">
            <v>339</v>
          </cell>
          <cell r="AA57">
            <v>353</v>
          </cell>
          <cell r="AB57">
            <v>353</v>
          </cell>
        </row>
        <row r="58">
          <cell r="C58" t="str">
            <v>Croatia</v>
          </cell>
          <cell r="D58">
            <v>477</v>
          </cell>
          <cell r="E58">
            <v>481</v>
          </cell>
          <cell r="F58">
            <v>473</v>
          </cell>
          <cell r="G58">
            <v>465</v>
          </cell>
          <cell r="H58">
            <v>462</v>
          </cell>
          <cell r="I58">
            <v>472</v>
          </cell>
          <cell r="J58">
            <v>468</v>
          </cell>
          <cell r="K58">
            <v>479</v>
          </cell>
          <cell r="L58">
            <v>482</v>
          </cell>
          <cell r="M58">
            <v>487</v>
          </cell>
          <cell r="N58">
            <v>486</v>
          </cell>
          <cell r="O58">
            <v>523</v>
          </cell>
          <cell r="P58">
            <v>773</v>
          </cell>
          <cell r="Q58">
            <v>849</v>
          </cell>
          <cell r="R58">
            <v>956</v>
          </cell>
          <cell r="S58">
            <v>1030</v>
          </cell>
          <cell r="T58">
            <v>1169</v>
          </cell>
          <cell r="U58">
            <v>1201</v>
          </cell>
          <cell r="V58">
            <v>1236</v>
          </cell>
          <cell r="W58">
            <v>1279</v>
          </cell>
          <cell r="X58">
            <v>1332</v>
          </cell>
          <cell r="Y58">
            <v>1417</v>
          </cell>
          <cell r="Z58">
            <v>1444</v>
          </cell>
          <cell r="AA58">
            <v>1518</v>
          </cell>
          <cell r="AB58">
            <v>1671</v>
          </cell>
        </row>
        <row r="59">
          <cell r="C59" t="str">
            <v>Cuba</v>
          </cell>
          <cell r="D59">
            <v>878</v>
          </cell>
          <cell r="E59">
            <v>901</v>
          </cell>
          <cell r="F59">
            <v>908</v>
          </cell>
          <cell r="G59">
            <v>886</v>
          </cell>
          <cell r="H59">
            <v>895</v>
          </cell>
          <cell r="I59">
            <v>902</v>
          </cell>
          <cell r="J59">
            <v>910</v>
          </cell>
          <cell r="K59">
            <v>907</v>
          </cell>
          <cell r="L59">
            <v>928</v>
          </cell>
          <cell r="M59">
            <v>923</v>
          </cell>
          <cell r="N59">
            <v>931</v>
          </cell>
          <cell r="O59">
            <v>915</v>
          </cell>
          <cell r="P59">
            <v>890</v>
          </cell>
          <cell r="Q59">
            <v>874</v>
          </cell>
          <cell r="R59">
            <v>869</v>
          </cell>
          <cell r="S59">
            <v>860</v>
          </cell>
          <cell r="T59">
            <v>796</v>
          </cell>
          <cell r="U59">
            <v>774</v>
          </cell>
          <cell r="V59">
            <v>752</v>
          </cell>
          <cell r="W59">
            <v>756</v>
          </cell>
          <cell r="X59">
            <v>750</v>
          </cell>
          <cell r="Y59">
            <v>706</v>
          </cell>
          <cell r="Z59">
            <v>758</v>
          </cell>
          <cell r="AA59">
            <v>760</v>
          </cell>
          <cell r="AB59">
            <v>763</v>
          </cell>
        </row>
        <row r="60">
          <cell r="C60" t="str">
            <v>Curacao</v>
          </cell>
          <cell r="D60">
            <v>245</v>
          </cell>
          <cell r="E60">
            <v>242</v>
          </cell>
          <cell r="F60">
            <v>240</v>
          </cell>
          <cell r="G60">
            <v>236</v>
          </cell>
          <cell r="H60">
            <v>214</v>
          </cell>
          <cell r="I60">
            <v>229</v>
          </cell>
          <cell r="J60">
            <v>232</v>
          </cell>
          <cell r="K60">
            <v>190</v>
          </cell>
          <cell r="L60">
            <v>188</v>
          </cell>
          <cell r="M60">
            <v>184</v>
          </cell>
          <cell r="N60">
            <v>179</v>
          </cell>
          <cell r="O60">
            <v>172</v>
          </cell>
          <cell r="P60">
            <v>174</v>
          </cell>
          <cell r="Q60">
            <v>175</v>
          </cell>
          <cell r="R60">
            <v>186</v>
          </cell>
          <cell r="S60">
            <v>187</v>
          </cell>
          <cell r="T60">
            <v>181</v>
          </cell>
          <cell r="U60">
            <v>181</v>
          </cell>
          <cell r="V60">
            <v>181</v>
          </cell>
          <cell r="W60">
            <v>235</v>
          </cell>
          <cell r="X60">
            <v>231</v>
          </cell>
          <cell r="Y60">
            <v>219</v>
          </cell>
          <cell r="Z60">
            <v>218</v>
          </cell>
          <cell r="AA60">
            <v>226</v>
          </cell>
          <cell r="AB60">
            <v>225</v>
          </cell>
        </row>
        <row r="61">
          <cell r="C61" t="str">
            <v>Cyprus</v>
          </cell>
          <cell r="D61">
            <v>597</v>
          </cell>
          <cell r="E61">
            <v>585</v>
          </cell>
          <cell r="F61">
            <v>589</v>
          </cell>
          <cell r="G61">
            <v>583</v>
          </cell>
          <cell r="H61">
            <v>596</v>
          </cell>
          <cell r="I61">
            <v>617</v>
          </cell>
          <cell r="J61">
            <v>606</v>
          </cell>
          <cell r="K61">
            <v>606</v>
          </cell>
          <cell r="L61">
            <v>620</v>
          </cell>
          <cell r="M61">
            <v>619</v>
          </cell>
          <cell r="N61">
            <v>633</v>
          </cell>
          <cell r="O61">
            <v>651</v>
          </cell>
          <cell r="P61">
            <v>832</v>
          </cell>
          <cell r="Q61">
            <v>870</v>
          </cell>
          <cell r="R61">
            <v>914</v>
          </cell>
          <cell r="S61">
            <v>956</v>
          </cell>
          <cell r="T61">
            <v>989</v>
          </cell>
          <cell r="U61">
            <v>981</v>
          </cell>
          <cell r="V61">
            <v>986</v>
          </cell>
          <cell r="W61">
            <v>999</v>
          </cell>
          <cell r="X61">
            <v>1049</v>
          </cell>
          <cell r="Y61">
            <v>1103</v>
          </cell>
          <cell r="Z61">
            <v>1120</v>
          </cell>
          <cell r="AA61">
            <v>1126</v>
          </cell>
          <cell r="AB61">
            <v>1132</v>
          </cell>
        </row>
        <row r="62">
          <cell r="C62" t="str">
            <v>Czech Republic</v>
          </cell>
          <cell r="D62">
            <v>1030</v>
          </cell>
          <cell r="E62">
            <v>975</v>
          </cell>
          <cell r="F62">
            <v>981</v>
          </cell>
          <cell r="G62">
            <v>992</v>
          </cell>
          <cell r="H62">
            <v>1017</v>
          </cell>
          <cell r="I62">
            <v>1052</v>
          </cell>
          <cell r="J62">
            <v>1070</v>
          </cell>
          <cell r="K62">
            <v>1077</v>
          </cell>
          <cell r="L62">
            <v>1111</v>
          </cell>
          <cell r="M62">
            <v>1115</v>
          </cell>
          <cell r="N62">
            <v>1117</v>
          </cell>
          <cell r="O62">
            <v>1112</v>
          </cell>
          <cell r="P62">
            <v>1208</v>
          </cell>
          <cell r="Q62">
            <v>1229</v>
          </cell>
          <cell r="R62">
            <v>1248</v>
          </cell>
          <cell r="S62">
            <v>1271</v>
          </cell>
          <cell r="T62">
            <v>1282</v>
          </cell>
          <cell r="U62">
            <v>1292</v>
          </cell>
          <cell r="V62">
            <v>1303</v>
          </cell>
          <cell r="W62">
            <v>1316</v>
          </cell>
          <cell r="X62">
            <v>1415</v>
          </cell>
          <cell r="Y62">
            <v>1530</v>
          </cell>
          <cell r="Z62">
            <v>1567</v>
          </cell>
          <cell r="AA62">
            <v>1559</v>
          </cell>
          <cell r="AB62">
            <v>1562</v>
          </cell>
        </row>
        <row r="63">
          <cell r="C63" t="str">
            <v>Denmark</v>
          </cell>
          <cell r="D63">
            <v>2574</v>
          </cell>
          <cell r="E63">
            <v>2587</v>
          </cell>
          <cell r="F63">
            <v>2632</v>
          </cell>
          <cell r="G63">
            <v>2660</v>
          </cell>
          <cell r="H63">
            <v>2764</v>
          </cell>
          <cell r="I63">
            <v>2682</v>
          </cell>
          <cell r="J63">
            <v>2851</v>
          </cell>
          <cell r="K63">
            <v>2914</v>
          </cell>
          <cell r="L63">
            <v>2989</v>
          </cell>
          <cell r="M63">
            <v>2999</v>
          </cell>
          <cell r="N63">
            <v>3005</v>
          </cell>
          <cell r="O63">
            <v>3000</v>
          </cell>
          <cell r="P63">
            <v>3229</v>
          </cell>
          <cell r="Q63">
            <v>3270</v>
          </cell>
          <cell r="R63">
            <v>2690</v>
          </cell>
          <cell r="S63">
            <v>3181</v>
          </cell>
          <cell r="T63">
            <v>3173</v>
          </cell>
          <cell r="U63">
            <v>3295</v>
          </cell>
          <cell r="V63">
            <v>3217</v>
          </cell>
          <cell r="W63">
            <v>3325</v>
          </cell>
          <cell r="X63">
            <v>3082</v>
          </cell>
          <cell r="Y63">
            <v>3257</v>
          </cell>
          <cell r="Z63">
            <v>3444</v>
          </cell>
          <cell r="AA63">
            <v>3329</v>
          </cell>
          <cell r="AB63">
            <v>3256</v>
          </cell>
        </row>
        <row r="64">
          <cell r="C64" t="str">
            <v>Djibouti</v>
          </cell>
          <cell r="D64">
            <v>81</v>
          </cell>
          <cell r="E64">
            <v>79</v>
          </cell>
          <cell r="F64">
            <v>79</v>
          </cell>
          <cell r="G64">
            <v>79</v>
          </cell>
          <cell r="H64">
            <v>96</v>
          </cell>
          <cell r="I64">
            <v>95</v>
          </cell>
          <cell r="J64">
            <v>95</v>
          </cell>
          <cell r="K64">
            <v>95</v>
          </cell>
          <cell r="L64">
            <v>93</v>
          </cell>
          <cell r="M64">
            <v>95</v>
          </cell>
          <cell r="N64">
            <v>93</v>
          </cell>
          <cell r="O64">
            <v>87</v>
          </cell>
          <cell r="P64">
            <v>68</v>
          </cell>
          <cell r="Q64">
            <v>67</v>
          </cell>
          <cell r="R64">
            <v>72</v>
          </cell>
          <cell r="S64">
            <v>76</v>
          </cell>
          <cell r="T64">
            <v>76</v>
          </cell>
          <cell r="U64">
            <v>76</v>
          </cell>
          <cell r="V64">
            <v>75</v>
          </cell>
          <cell r="W64">
            <v>77</v>
          </cell>
          <cell r="X64">
            <v>76</v>
          </cell>
          <cell r="Y64">
            <v>59</v>
          </cell>
          <cell r="Z64">
            <v>59</v>
          </cell>
          <cell r="AA64">
            <v>58</v>
          </cell>
          <cell r="AB64">
            <v>57</v>
          </cell>
        </row>
        <row r="65">
          <cell r="C65" t="str">
            <v>Dominica</v>
          </cell>
          <cell r="D65">
            <v>78</v>
          </cell>
          <cell r="E65">
            <v>80</v>
          </cell>
          <cell r="F65">
            <v>80</v>
          </cell>
          <cell r="G65">
            <v>80</v>
          </cell>
          <cell r="H65">
            <v>80</v>
          </cell>
          <cell r="I65">
            <v>79</v>
          </cell>
          <cell r="J65">
            <v>77</v>
          </cell>
          <cell r="K65">
            <v>79</v>
          </cell>
          <cell r="L65">
            <v>80</v>
          </cell>
          <cell r="M65">
            <v>78</v>
          </cell>
          <cell r="N65">
            <v>79</v>
          </cell>
          <cell r="O65">
            <v>80</v>
          </cell>
          <cell r="P65">
            <v>78</v>
          </cell>
          <cell r="Q65">
            <v>78</v>
          </cell>
          <cell r="R65">
            <v>81</v>
          </cell>
          <cell r="S65">
            <v>81</v>
          </cell>
          <cell r="T65">
            <v>80</v>
          </cell>
          <cell r="U65">
            <v>79</v>
          </cell>
          <cell r="V65">
            <v>77</v>
          </cell>
          <cell r="W65">
            <v>76</v>
          </cell>
          <cell r="X65">
            <v>75</v>
          </cell>
          <cell r="Y65">
            <v>77</v>
          </cell>
          <cell r="Z65">
            <v>77</v>
          </cell>
          <cell r="AA65">
            <v>79</v>
          </cell>
          <cell r="AB65">
            <v>80</v>
          </cell>
        </row>
        <row r="66">
          <cell r="C66" t="str">
            <v>Dominican Republic</v>
          </cell>
          <cell r="D66">
            <v>1112</v>
          </cell>
          <cell r="E66">
            <v>1089</v>
          </cell>
          <cell r="F66">
            <v>1030</v>
          </cell>
          <cell r="G66">
            <v>1016</v>
          </cell>
          <cell r="H66">
            <v>1033</v>
          </cell>
          <cell r="I66">
            <v>1041</v>
          </cell>
          <cell r="J66">
            <v>1080</v>
          </cell>
          <cell r="K66">
            <v>1072</v>
          </cell>
          <cell r="L66">
            <v>1091</v>
          </cell>
          <cell r="M66">
            <v>1096</v>
          </cell>
          <cell r="N66">
            <v>1119</v>
          </cell>
          <cell r="O66">
            <v>1075</v>
          </cell>
          <cell r="P66">
            <v>1037</v>
          </cell>
          <cell r="Q66">
            <v>994</v>
          </cell>
          <cell r="R66">
            <v>983</v>
          </cell>
          <cell r="S66">
            <v>973</v>
          </cell>
          <cell r="T66">
            <v>948</v>
          </cell>
          <cell r="U66">
            <v>955</v>
          </cell>
          <cell r="V66">
            <v>950</v>
          </cell>
          <cell r="W66">
            <v>964</v>
          </cell>
          <cell r="X66">
            <v>963</v>
          </cell>
          <cell r="Y66">
            <v>998</v>
          </cell>
          <cell r="Z66">
            <v>1039</v>
          </cell>
          <cell r="AA66">
            <v>1070</v>
          </cell>
          <cell r="AB66">
            <v>1087</v>
          </cell>
        </row>
        <row r="67">
          <cell r="C67" t="str">
            <v>Ecuador</v>
          </cell>
          <cell r="D67">
            <v>1145</v>
          </cell>
          <cell r="E67">
            <v>1144</v>
          </cell>
          <cell r="F67">
            <v>1123</v>
          </cell>
          <cell r="G67">
            <v>1113</v>
          </cell>
          <cell r="H67">
            <v>1119</v>
          </cell>
          <cell r="I67">
            <v>1130</v>
          </cell>
          <cell r="J67">
            <v>1138</v>
          </cell>
          <cell r="K67">
            <v>1129</v>
          </cell>
          <cell r="L67">
            <v>1157</v>
          </cell>
          <cell r="M67">
            <v>1174</v>
          </cell>
          <cell r="N67">
            <v>1193</v>
          </cell>
          <cell r="O67">
            <v>1186</v>
          </cell>
          <cell r="P67">
            <v>1198</v>
          </cell>
          <cell r="Q67">
            <v>1157</v>
          </cell>
          <cell r="R67">
            <v>1132</v>
          </cell>
          <cell r="S67">
            <v>1167</v>
          </cell>
          <cell r="T67">
            <v>1130</v>
          </cell>
          <cell r="U67">
            <v>1170</v>
          </cell>
          <cell r="V67">
            <v>1168</v>
          </cell>
          <cell r="W67">
            <v>1115</v>
          </cell>
          <cell r="X67">
            <v>1144</v>
          </cell>
          <cell r="Y67">
            <v>1148</v>
          </cell>
          <cell r="Z67">
            <v>1157</v>
          </cell>
          <cell r="AA67">
            <v>1178</v>
          </cell>
          <cell r="AB67">
            <v>1186</v>
          </cell>
        </row>
        <row r="68">
          <cell r="C68" t="str">
            <v>Egypt</v>
          </cell>
          <cell r="D68">
            <v>2240</v>
          </cell>
          <cell r="E68">
            <v>2171</v>
          </cell>
          <cell r="F68">
            <v>2231</v>
          </cell>
          <cell r="G68">
            <v>2277</v>
          </cell>
          <cell r="H68">
            <v>2273</v>
          </cell>
          <cell r="I68">
            <v>2228</v>
          </cell>
          <cell r="J68">
            <v>2239</v>
          </cell>
          <cell r="K68">
            <v>2263</v>
          </cell>
          <cell r="L68">
            <v>2221</v>
          </cell>
          <cell r="M68">
            <v>2232</v>
          </cell>
          <cell r="N68">
            <v>2266</v>
          </cell>
          <cell r="O68">
            <v>2267</v>
          </cell>
          <cell r="P68">
            <v>2299</v>
          </cell>
          <cell r="Q68">
            <v>2289</v>
          </cell>
          <cell r="R68">
            <v>2451</v>
          </cell>
          <cell r="S68">
            <v>2596</v>
          </cell>
          <cell r="T68">
            <v>2488</v>
          </cell>
          <cell r="U68">
            <v>2251</v>
          </cell>
          <cell r="V68">
            <v>2127</v>
          </cell>
          <cell r="W68">
            <v>2139</v>
          </cell>
          <cell r="X68">
            <v>2219</v>
          </cell>
          <cell r="Y68">
            <v>2541</v>
          </cell>
          <cell r="Z68">
            <v>2580</v>
          </cell>
          <cell r="AA68">
            <v>2471</v>
          </cell>
          <cell r="AB68">
            <v>2462</v>
          </cell>
        </row>
        <row r="69">
          <cell r="C69" t="str">
            <v>El Salvador</v>
          </cell>
          <cell r="D69">
            <v>481</v>
          </cell>
          <cell r="E69">
            <v>474</v>
          </cell>
          <cell r="F69">
            <v>476</v>
          </cell>
          <cell r="G69">
            <v>472</v>
          </cell>
          <cell r="H69">
            <v>471</v>
          </cell>
          <cell r="I69">
            <v>465</v>
          </cell>
          <cell r="J69">
            <v>471</v>
          </cell>
          <cell r="K69">
            <v>471</v>
          </cell>
          <cell r="L69">
            <v>469</v>
          </cell>
          <cell r="M69">
            <v>469</v>
          </cell>
          <cell r="N69">
            <v>461</v>
          </cell>
          <cell r="O69">
            <v>461</v>
          </cell>
          <cell r="P69">
            <v>463</v>
          </cell>
          <cell r="Q69">
            <v>481</v>
          </cell>
          <cell r="R69">
            <v>483</v>
          </cell>
          <cell r="S69">
            <v>477</v>
          </cell>
          <cell r="T69">
            <v>475</v>
          </cell>
          <cell r="U69">
            <v>482</v>
          </cell>
          <cell r="V69">
            <v>479</v>
          </cell>
          <cell r="W69">
            <v>482</v>
          </cell>
          <cell r="X69">
            <v>474</v>
          </cell>
          <cell r="Y69">
            <v>477</v>
          </cell>
          <cell r="Z69">
            <v>486</v>
          </cell>
          <cell r="AA69">
            <v>492</v>
          </cell>
          <cell r="AB69">
            <v>493</v>
          </cell>
        </row>
        <row r="70">
          <cell r="C70" t="str">
            <v>Equatorial Guinea</v>
          </cell>
          <cell r="D70">
            <v>176</v>
          </cell>
          <cell r="E70">
            <v>176</v>
          </cell>
          <cell r="F70">
            <v>170</v>
          </cell>
          <cell r="G70">
            <v>145</v>
          </cell>
          <cell r="H70">
            <v>167</v>
          </cell>
          <cell r="I70">
            <v>170</v>
          </cell>
          <cell r="J70">
            <v>168</v>
          </cell>
          <cell r="K70">
            <v>172</v>
          </cell>
          <cell r="L70">
            <v>174</v>
          </cell>
          <cell r="M70">
            <v>174</v>
          </cell>
          <cell r="N70">
            <v>173</v>
          </cell>
          <cell r="O70">
            <v>118</v>
          </cell>
          <cell r="P70">
            <v>172</v>
          </cell>
          <cell r="Q70">
            <v>181</v>
          </cell>
          <cell r="R70">
            <v>181</v>
          </cell>
          <cell r="S70">
            <v>176</v>
          </cell>
          <cell r="T70">
            <v>159</v>
          </cell>
          <cell r="U70">
            <v>154</v>
          </cell>
          <cell r="V70">
            <v>157</v>
          </cell>
          <cell r="W70">
            <v>157</v>
          </cell>
          <cell r="X70">
            <v>158</v>
          </cell>
          <cell r="Y70">
            <v>162</v>
          </cell>
          <cell r="Z70">
            <v>168</v>
          </cell>
          <cell r="AA70">
            <v>174</v>
          </cell>
          <cell r="AB70">
            <v>156</v>
          </cell>
        </row>
        <row r="71">
          <cell r="C71" t="str">
            <v>Eritrea</v>
          </cell>
          <cell r="D71">
            <v>47</v>
          </cell>
          <cell r="E71">
            <v>50</v>
          </cell>
          <cell r="F71">
            <v>48</v>
          </cell>
          <cell r="G71">
            <v>43</v>
          </cell>
          <cell r="H71">
            <v>44</v>
          </cell>
          <cell r="I71">
            <v>44</v>
          </cell>
          <cell r="J71">
            <v>41</v>
          </cell>
          <cell r="K71">
            <v>42</v>
          </cell>
          <cell r="L71">
            <v>36</v>
          </cell>
          <cell r="M71">
            <v>36</v>
          </cell>
          <cell r="N71">
            <v>35</v>
          </cell>
          <cell r="O71">
            <v>33</v>
          </cell>
          <cell r="P71">
            <v>36</v>
          </cell>
          <cell r="Q71">
            <v>35</v>
          </cell>
          <cell r="R71">
            <v>37</v>
          </cell>
          <cell r="S71">
            <v>36</v>
          </cell>
          <cell r="T71">
            <v>42</v>
          </cell>
          <cell r="U71">
            <v>45</v>
          </cell>
          <cell r="V71">
            <v>46</v>
          </cell>
          <cell r="W71">
            <v>49</v>
          </cell>
          <cell r="X71">
            <v>47</v>
          </cell>
          <cell r="Y71">
            <v>52</v>
          </cell>
          <cell r="Z71">
            <v>46</v>
          </cell>
          <cell r="AA71">
            <v>44</v>
          </cell>
          <cell r="AB71">
            <v>45</v>
          </cell>
        </row>
        <row r="72">
          <cell r="C72" t="str">
            <v>Estonia</v>
          </cell>
          <cell r="D72">
            <v>384</v>
          </cell>
          <cell r="E72">
            <v>357</v>
          </cell>
          <cell r="F72">
            <v>358</v>
          </cell>
          <cell r="G72">
            <v>343</v>
          </cell>
          <cell r="H72">
            <v>361</v>
          </cell>
          <cell r="I72">
            <v>364</v>
          </cell>
          <cell r="J72">
            <v>373</v>
          </cell>
          <cell r="K72">
            <v>373</v>
          </cell>
          <cell r="L72">
            <v>374</v>
          </cell>
          <cell r="M72">
            <v>372</v>
          </cell>
          <cell r="N72">
            <v>367</v>
          </cell>
          <cell r="O72">
            <v>372</v>
          </cell>
          <cell r="P72">
            <v>397</v>
          </cell>
          <cell r="Q72">
            <v>401</v>
          </cell>
          <cell r="R72">
            <v>381</v>
          </cell>
          <cell r="S72">
            <v>396</v>
          </cell>
          <cell r="T72">
            <v>386</v>
          </cell>
          <cell r="U72">
            <v>399</v>
          </cell>
          <cell r="V72">
            <v>404</v>
          </cell>
          <cell r="W72">
            <v>404</v>
          </cell>
          <cell r="X72">
            <v>398</v>
          </cell>
          <cell r="Y72">
            <v>428</v>
          </cell>
          <cell r="Z72">
            <v>435</v>
          </cell>
          <cell r="AA72">
            <v>427</v>
          </cell>
          <cell r="AB72">
            <v>417</v>
          </cell>
        </row>
        <row r="73">
          <cell r="C73" t="str">
            <v>Eswatini</v>
          </cell>
          <cell r="D73">
            <v>17</v>
          </cell>
          <cell r="E73">
            <v>21</v>
          </cell>
          <cell r="F73">
            <v>21</v>
          </cell>
          <cell r="G73">
            <v>23</v>
          </cell>
          <cell r="H73">
            <v>23</v>
          </cell>
          <cell r="I73">
            <v>23</v>
          </cell>
          <cell r="J73">
            <v>23</v>
          </cell>
          <cell r="K73">
            <v>23</v>
          </cell>
          <cell r="L73">
            <v>23</v>
          </cell>
          <cell r="M73">
            <v>23</v>
          </cell>
          <cell r="N73">
            <v>22</v>
          </cell>
          <cell r="O73">
            <v>23</v>
          </cell>
          <cell r="P73">
            <v>23</v>
          </cell>
          <cell r="Q73">
            <v>23</v>
          </cell>
          <cell r="R73">
            <v>18</v>
          </cell>
          <cell r="S73">
            <v>20</v>
          </cell>
          <cell r="T73">
            <v>20</v>
          </cell>
          <cell r="U73">
            <v>22</v>
          </cell>
          <cell r="V73">
            <v>23</v>
          </cell>
          <cell r="W73">
            <v>23</v>
          </cell>
          <cell r="X73">
            <v>23</v>
          </cell>
          <cell r="Y73">
            <v>23</v>
          </cell>
          <cell r="Z73">
            <v>23</v>
          </cell>
          <cell r="AA73">
            <v>22</v>
          </cell>
          <cell r="AB73">
            <v>23</v>
          </cell>
        </row>
        <row r="74">
          <cell r="C74" t="str">
            <v>Ethiopia</v>
          </cell>
          <cell r="D74">
            <v>1695</v>
          </cell>
          <cell r="E74">
            <v>1716</v>
          </cell>
          <cell r="F74">
            <v>1673</v>
          </cell>
          <cell r="G74">
            <v>1680</v>
          </cell>
          <cell r="H74">
            <v>1668</v>
          </cell>
          <cell r="I74">
            <v>1656</v>
          </cell>
          <cell r="J74">
            <v>1642</v>
          </cell>
          <cell r="K74">
            <v>1660</v>
          </cell>
          <cell r="L74">
            <v>1672</v>
          </cell>
          <cell r="M74">
            <v>1643</v>
          </cell>
          <cell r="N74">
            <v>1669</v>
          </cell>
          <cell r="O74">
            <v>1679</v>
          </cell>
          <cell r="P74">
            <v>1666</v>
          </cell>
          <cell r="Q74">
            <v>1676</v>
          </cell>
          <cell r="R74">
            <v>1668</v>
          </cell>
          <cell r="S74">
            <v>1664</v>
          </cell>
          <cell r="T74">
            <v>1648</v>
          </cell>
          <cell r="U74">
            <v>1627</v>
          </cell>
          <cell r="V74">
            <v>1627</v>
          </cell>
          <cell r="W74">
            <v>1624</v>
          </cell>
          <cell r="X74">
            <v>1624</v>
          </cell>
          <cell r="Y74">
            <v>1639</v>
          </cell>
          <cell r="Z74">
            <v>1648</v>
          </cell>
          <cell r="AA74">
            <v>1670</v>
          </cell>
          <cell r="AB74">
            <v>1669</v>
          </cell>
        </row>
        <row r="75">
          <cell r="C75" t="str">
            <v>Falkland Islands</v>
          </cell>
          <cell r="D75">
            <v>2</v>
          </cell>
          <cell r="E75">
            <v>3</v>
          </cell>
          <cell r="F75">
            <v>2</v>
          </cell>
          <cell r="G75">
            <v>2</v>
          </cell>
          <cell r="H75">
            <v>2</v>
          </cell>
          <cell r="I75">
            <v>3</v>
          </cell>
          <cell r="J75">
            <v>2</v>
          </cell>
          <cell r="K75">
            <v>2</v>
          </cell>
          <cell r="L75">
            <v>2</v>
          </cell>
          <cell r="M75">
            <v>3</v>
          </cell>
          <cell r="N75">
            <v>3</v>
          </cell>
          <cell r="O75">
            <v>2</v>
          </cell>
          <cell r="P75">
            <v>2</v>
          </cell>
          <cell r="Q75">
            <v>2</v>
          </cell>
          <cell r="R75">
            <v>3</v>
          </cell>
          <cell r="S75">
            <v>2</v>
          </cell>
          <cell r="T75">
            <v>2</v>
          </cell>
          <cell r="U75">
            <v>2</v>
          </cell>
          <cell r="V75">
            <v>3</v>
          </cell>
          <cell r="W75">
            <v>2</v>
          </cell>
          <cell r="X75">
            <v>2</v>
          </cell>
          <cell r="Y75">
            <v>2</v>
          </cell>
          <cell r="Z75">
            <v>3</v>
          </cell>
          <cell r="AA75">
            <v>2</v>
          </cell>
          <cell r="AB75">
            <v>2</v>
          </cell>
        </row>
        <row r="76">
          <cell r="C76" t="str">
            <v>Faroe Islands</v>
          </cell>
          <cell r="D76">
            <v>24</v>
          </cell>
          <cell r="E76">
            <v>24</v>
          </cell>
          <cell r="F76">
            <v>23</v>
          </cell>
          <cell r="G76">
            <v>24</v>
          </cell>
          <cell r="H76">
            <v>24</v>
          </cell>
          <cell r="I76">
            <v>23</v>
          </cell>
          <cell r="J76">
            <v>24</v>
          </cell>
          <cell r="K76">
            <v>24</v>
          </cell>
          <cell r="L76">
            <v>24</v>
          </cell>
          <cell r="M76">
            <v>26</v>
          </cell>
          <cell r="N76">
            <v>26</v>
          </cell>
          <cell r="O76">
            <v>25</v>
          </cell>
          <cell r="P76">
            <v>31</v>
          </cell>
          <cell r="Q76">
            <v>39</v>
          </cell>
          <cell r="R76">
            <v>35</v>
          </cell>
          <cell r="S76">
            <v>41</v>
          </cell>
          <cell r="T76">
            <v>35</v>
          </cell>
          <cell r="U76">
            <v>35</v>
          </cell>
          <cell r="V76">
            <v>38</v>
          </cell>
          <cell r="W76">
            <v>37</v>
          </cell>
          <cell r="X76">
            <v>41</v>
          </cell>
          <cell r="Y76">
            <v>41</v>
          </cell>
          <cell r="Z76">
            <v>38</v>
          </cell>
          <cell r="AA76">
            <v>49</v>
          </cell>
          <cell r="AB76">
            <v>49</v>
          </cell>
        </row>
        <row r="77">
          <cell r="C77" t="str">
            <v>Fiji</v>
          </cell>
          <cell r="D77">
            <v>448</v>
          </cell>
          <cell r="E77">
            <v>427</v>
          </cell>
          <cell r="F77">
            <v>428</v>
          </cell>
          <cell r="G77">
            <v>401</v>
          </cell>
          <cell r="H77">
            <v>382</v>
          </cell>
          <cell r="I77">
            <v>390</v>
          </cell>
          <cell r="J77">
            <v>385</v>
          </cell>
          <cell r="K77">
            <v>389</v>
          </cell>
          <cell r="L77">
            <v>388</v>
          </cell>
          <cell r="M77">
            <v>387</v>
          </cell>
          <cell r="N77">
            <v>394</v>
          </cell>
          <cell r="O77">
            <v>398</v>
          </cell>
          <cell r="P77">
            <v>412</v>
          </cell>
          <cell r="Q77">
            <v>420</v>
          </cell>
          <cell r="R77">
            <v>423</v>
          </cell>
          <cell r="S77">
            <v>424</v>
          </cell>
          <cell r="T77">
            <v>412</v>
          </cell>
          <cell r="U77">
            <v>405</v>
          </cell>
          <cell r="V77">
            <v>403</v>
          </cell>
          <cell r="W77">
            <v>406</v>
          </cell>
          <cell r="X77">
            <v>416</v>
          </cell>
          <cell r="Y77">
            <v>418</v>
          </cell>
          <cell r="Z77">
            <v>425</v>
          </cell>
          <cell r="AA77">
            <v>443</v>
          </cell>
          <cell r="AB77">
            <v>449</v>
          </cell>
        </row>
        <row r="78">
          <cell r="C78" t="str">
            <v>Finland</v>
          </cell>
          <cell r="D78">
            <v>2434</v>
          </cell>
          <cell r="E78">
            <v>2425</v>
          </cell>
          <cell r="F78">
            <v>2451</v>
          </cell>
          <cell r="G78">
            <v>2491</v>
          </cell>
          <cell r="H78">
            <v>2494</v>
          </cell>
          <cell r="I78">
            <v>2517</v>
          </cell>
          <cell r="J78">
            <v>2482</v>
          </cell>
          <cell r="K78">
            <v>2481</v>
          </cell>
          <cell r="L78">
            <v>2498</v>
          </cell>
          <cell r="M78">
            <v>2485</v>
          </cell>
          <cell r="N78">
            <v>2483</v>
          </cell>
          <cell r="O78">
            <v>2472</v>
          </cell>
          <cell r="P78">
            <v>2482</v>
          </cell>
          <cell r="Q78">
            <v>2505</v>
          </cell>
          <cell r="R78">
            <v>2287</v>
          </cell>
          <cell r="S78">
            <v>2444</v>
          </cell>
          <cell r="T78">
            <v>2365</v>
          </cell>
          <cell r="U78">
            <v>2493</v>
          </cell>
          <cell r="V78">
            <v>2506</v>
          </cell>
          <cell r="W78">
            <v>2510</v>
          </cell>
          <cell r="X78">
            <v>2366</v>
          </cell>
          <cell r="Y78">
            <v>2536</v>
          </cell>
          <cell r="Z78">
            <v>2539</v>
          </cell>
          <cell r="AA78">
            <v>2348</v>
          </cell>
          <cell r="AB78">
            <v>2305</v>
          </cell>
        </row>
        <row r="79">
          <cell r="C79" t="str">
            <v>France</v>
          </cell>
          <cell r="D79">
            <v>12132</v>
          </cell>
          <cell r="E79">
            <v>12036</v>
          </cell>
          <cell r="F79">
            <v>12087</v>
          </cell>
          <cell r="G79">
            <v>12183</v>
          </cell>
          <cell r="H79">
            <v>12297</v>
          </cell>
          <cell r="I79">
            <v>12545</v>
          </cell>
          <cell r="J79">
            <v>12502</v>
          </cell>
          <cell r="K79">
            <v>12539</v>
          </cell>
          <cell r="L79">
            <v>12813</v>
          </cell>
          <cell r="M79">
            <v>13078</v>
          </cell>
          <cell r="N79">
            <v>12872</v>
          </cell>
          <cell r="O79">
            <v>13111</v>
          </cell>
          <cell r="P79">
            <v>14779</v>
          </cell>
          <cell r="Q79">
            <v>15130</v>
          </cell>
          <cell r="R79">
            <v>15194</v>
          </cell>
          <cell r="S79">
            <v>15257</v>
          </cell>
          <cell r="T79">
            <v>15124</v>
          </cell>
          <cell r="U79">
            <v>14876</v>
          </cell>
          <cell r="V79">
            <v>15159</v>
          </cell>
          <cell r="W79">
            <v>15283</v>
          </cell>
          <cell r="X79">
            <v>15039</v>
          </cell>
          <cell r="Y79">
            <v>15665</v>
          </cell>
          <cell r="Z79">
            <v>15850</v>
          </cell>
          <cell r="AA79">
            <v>16157</v>
          </cell>
          <cell r="AB79">
            <v>16320</v>
          </cell>
        </row>
        <row r="80">
          <cell r="C80" t="str">
            <v>French Guiana</v>
          </cell>
          <cell r="D80">
            <v>48</v>
          </cell>
          <cell r="E80">
            <v>37</v>
          </cell>
          <cell r="F80">
            <v>43</v>
          </cell>
          <cell r="G80">
            <v>43</v>
          </cell>
          <cell r="H80">
            <v>46</v>
          </cell>
          <cell r="I80">
            <v>48</v>
          </cell>
          <cell r="J80">
            <v>50</v>
          </cell>
          <cell r="K80">
            <v>50</v>
          </cell>
          <cell r="L80">
            <v>53</v>
          </cell>
          <cell r="M80">
            <v>47</v>
          </cell>
          <cell r="N80">
            <v>43</v>
          </cell>
          <cell r="O80">
            <v>40</v>
          </cell>
          <cell r="P80">
            <v>37</v>
          </cell>
          <cell r="Q80">
            <v>42</v>
          </cell>
          <cell r="R80">
            <v>46</v>
          </cell>
          <cell r="S80">
            <v>42</v>
          </cell>
          <cell r="T80">
            <v>44</v>
          </cell>
          <cell r="U80">
            <v>42</v>
          </cell>
          <cell r="V80">
            <v>40</v>
          </cell>
          <cell r="W80">
            <v>38</v>
          </cell>
          <cell r="X80">
            <v>38</v>
          </cell>
          <cell r="Y80">
            <v>38</v>
          </cell>
          <cell r="Z80">
            <v>40</v>
          </cell>
          <cell r="AA80">
            <v>40</v>
          </cell>
          <cell r="AB80">
            <v>44</v>
          </cell>
        </row>
        <row r="81">
          <cell r="C81" t="str">
            <v>French Polynesia</v>
          </cell>
          <cell r="D81">
            <v>1120</v>
          </cell>
          <cell r="E81">
            <v>934</v>
          </cell>
          <cell r="F81">
            <v>776</v>
          </cell>
          <cell r="G81">
            <v>840</v>
          </cell>
          <cell r="H81">
            <v>812</v>
          </cell>
          <cell r="I81">
            <v>844</v>
          </cell>
          <cell r="J81">
            <v>887</v>
          </cell>
          <cell r="K81">
            <v>849</v>
          </cell>
          <cell r="L81">
            <v>800</v>
          </cell>
          <cell r="M81">
            <v>816</v>
          </cell>
          <cell r="N81">
            <v>855</v>
          </cell>
          <cell r="O81">
            <v>852</v>
          </cell>
          <cell r="P81">
            <v>1008</v>
          </cell>
          <cell r="Q81">
            <v>1052</v>
          </cell>
          <cell r="R81">
            <v>1111</v>
          </cell>
          <cell r="S81">
            <v>1060</v>
          </cell>
          <cell r="T81">
            <v>890</v>
          </cell>
          <cell r="U81">
            <v>922</v>
          </cell>
          <cell r="V81">
            <v>931</v>
          </cell>
          <cell r="W81">
            <v>924</v>
          </cell>
          <cell r="X81">
            <v>983</v>
          </cell>
          <cell r="Y81">
            <v>983</v>
          </cell>
          <cell r="Z81">
            <v>920</v>
          </cell>
          <cell r="AA81">
            <v>916</v>
          </cell>
          <cell r="AB81">
            <v>1100</v>
          </cell>
        </row>
        <row r="82">
          <cell r="C82" t="str">
            <v>Gabon</v>
          </cell>
          <cell r="D82">
            <v>197</v>
          </cell>
          <cell r="E82">
            <v>187</v>
          </cell>
          <cell r="F82">
            <v>187</v>
          </cell>
          <cell r="G82">
            <v>187</v>
          </cell>
          <cell r="H82">
            <v>185</v>
          </cell>
          <cell r="I82">
            <v>184</v>
          </cell>
          <cell r="J82">
            <v>183</v>
          </cell>
          <cell r="K82">
            <v>179</v>
          </cell>
          <cell r="L82">
            <v>180</v>
          </cell>
          <cell r="M82">
            <v>186</v>
          </cell>
          <cell r="N82">
            <v>185</v>
          </cell>
          <cell r="O82">
            <v>171</v>
          </cell>
          <cell r="P82">
            <v>172</v>
          </cell>
          <cell r="Q82">
            <v>178</v>
          </cell>
          <cell r="R82">
            <v>186</v>
          </cell>
          <cell r="S82">
            <v>181</v>
          </cell>
          <cell r="T82">
            <v>181</v>
          </cell>
          <cell r="U82">
            <v>127</v>
          </cell>
          <cell r="V82">
            <v>95</v>
          </cell>
          <cell r="W82">
            <v>178</v>
          </cell>
          <cell r="X82">
            <v>181</v>
          </cell>
          <cell r="Y82">
            <v>185</v>
          </cell>
          <cell r="Z82">
            <v>191</v>
          </cell>
          <cell r="AA82">
            <v>185</v>
          </cell>
          <cell r="AB82">
            <v>186</v>
          </cell>
        </row>
        <row r="83">
          <cell r="C83" t="str">
            <v>Gambia</v>
          </cell>
          <cell r="D83">
            <v>94</v>
          </cell>
          <cell r="E83">
            <v>94</v>
          </cell>
          <cell r="F83">
            <v>93</v>
          </cell>
          <cell r="G83">
            <v>95</v>
          </cell>
          <cell r="H83">
            <v>90</v>
          </cell>
          <cell r="I83">
            <v>91</v>
          </cell>
          <cell r="J83">
            <v>89</v>
          </cell>
          <cell r="K83">
            <v>94</v>
          </cell>
          <cell r="L83">
            <v>94</v>
          </cell>
          <cell r="M83">
            <v>93</v>
          </cell>
          <cell r="N83">
            <v>93</v>
          </cell>
          <cell r="O83">
            <v>88</v>
          </cell>
          <cell r="P83">
            <v>79</v>
          </cell>
          <cell r="Q83">
            <v>78</v>
          </cell>
          <cell r="R83">
            <v>67</v>
          </cell>
          <cell r="S83">
            <v>63</v>
          </cell>
          <cell r="T83">
            <v>59</v>
          </cell>
          <cell r="U83">
            <v>57</v>
          </cell>
          <cell r="V83">
            <v>57</v>
          </cell>
          <cell r="W83">
            <v>56</v>
          </cell>
          <cell r="X83">
            <v>55</v>
          </cell>
          <cell r="Y83">
            <v>55</v>
          </cell>
          <cell r="Z83">
            <v>55</v>
          </cell>
          <cell r="AA83">
            <v>55</v>
          </cell>
          <cell r="AB83">
            <v>54</v>
          </cell>
        </row>
        <row r="84">
          <cell r="C84" t="str">
            <v>Georgia</v>
          </cell>
          <cell r="D84">
            <v>371</v>
          </cell>
          <cell r="E84">
            <v>345</v>
          </cell>
          <cell r="F84">
            <v>335</v>
          </cell>
          <cell r="G84">
            <v>338</v>
          </cell>
          <cell r="H84">
            <v>328</v>
          </cell>
          <cell r="I84">
            <v>333</v>
          </cell>
          <cell r="J84">
            <v>340</v>
          </cell>
          <cell r="K84">
            <v>349</v>
          </cell>
          <cell r="L84">
            <v>360</v>
          </cell>
          <cell r="M84">
            <v>356</v>
          </cell>
          <cell r="N84">
            <v>366</v>
          </cell>
          <cell r="O84">
            <v>385</v>
          </cell>
          <cell r="P84">
            <v>411</v>
          </cell>
          <cell r="Q84">
            <v>405</v>
          </cell>
          <cell r="R84">
            <v>410</v>
          </cell>
          <cell r="S84">
            <v>422</v>
          </cell>
          <cell r="T84">
            <v>422</v>
          </cell>
          <cell r="U84">
            <v>412</v>
          </cell>
          <cell r="V84">
            <v>405</v>
          </cell>
          <cell r="W84">
            <v>412</v>
          </cell>
          <cell r="X84">
            <v>433</v>
          </cell>
          <cell r="Y84">
            <v>500</v>
          </cell>
          <cell r="Z84">
            <v>506</v>
          </cell>
          <cell r="AA84">
            <v>515</v>
          </cell>
          <cell r="AB84">
            <v>540</v>
          </cell>
        </row>
        <row r="85">
          <cell r="C85" t="str">
            <v>Germany</v>
          </cell>
          <cell r="D85">
            <v>16738</v>
          </cell>
          <cell r="E85">
            <v>16713</v>
          </cell>
          <cell r="F85">
            <v>16766</v>
          </cell>
          <cell r="G85">
            <v>16962</v>
          </cell>
          <cell r="H85">
            <v>17160</v>
          </cell>
          <cell r="I85">
            <v>17576</v>
          </cell>
          <cell r="J85">
            <v>17565</v>
          </cell>
          <cell r="K85">
            <v>17558</v>
          </cell>
          <cell r="L85">
            <v>17622</v>
          </cell>
          <cell r="M85">
            <v>17616</v>
          </cell>
          <cell r="N85">
            <v>17587</v>
          </cell>
          <cell r="O85">
            <v>17793</v>
          </cell>
          <cell r="P85">
            <v>18980</v>
          </cell>
          <cell r="Q85">
            <v>19249</v>
          </cell>
          <cell r="R85">
            <v>18340</v>
          </cell>
          <cell r="S85">
            <v>18834</v>
          </cell>
          <cell r="T85">
            <v>19349</v>
          </cell>
          <cell r="U85">
            <v>19804</v>
          </cell>
          <cell r="V85">
            <v>20040</v>
          </cell>
          <cell r="W85">
            <v>20174</v>
          </cell>
          <cell r="X85">
            <v>19633</v>
          </cell>
          <cell r="Y85">
            <v>20502</v>
          </cell>
          <cell r="Z85">
            <v>20484</v>
          </cell>
          <cell r="AA85">
            <v>20213</v>
          </cell>
          <cell r="AB85">
            <v>20835</v>
          </cell>
        </row>
        <row r="86">
          <cell r="C86" t="str">
            <v>Ghana</v>
          </cell>
          <cell r="D86">
            <v>457</v>
          </cell>
          <cell r="E86">
            <v>467</v>
          </cell>
          <cell r="F86">
            <v>466</v>
          </cell>
          <cell r="G86">
            <v>464</v>
          </cell>
          <cell r="H86">
            <v>460</v>
          </cell>
          <cell r="I86">
            <v>456</v>
          </cell>
          <cell r="J86">
            <v>456</v>
          </cell>
          <cell r="K86">
            <v>460</v>
          </cell>
          <cell r="L86">
            <v>462</v>
          </cell>
          <cell r="M86">
            <v>473</v>
          </cell>
          <cell r="N86">
            <v>476</v>
          </cell>
          <cell r="O86">
            <v>472</v>
          </cell>
          <cell r="P86">
            <v>480</v>
          </cell>
          <cell r="Q86">
            <v>484</v>
          </cell>
          <cell r="R86">
            <v>474</v>
          </cell>
          <cell r="S86">
            <v>487</v>
          </cell>
          <cell r="T86">
            <v>485</v>
          </cell>
          <cell r="U86">
            <v>485</v>
          </cell>
          <cell r="V86">
            <v>484</v>
          </cell>
          <cell r="W86">
            <v>503</v>
          </cell>
          <cell r="X86">
            <v>499</v>
          </cell>
          <cell r="Y86">
            <v>494</v>
          </cell>
          <cell r="Z86">
            <v>497</v>
          </cell>
          <cell r="AA86">
            <v>586</v>
          </cell>
          <cell r="AB86">
            <v>582</v>
          </cell>
        </row>
        <row r="87">
          <cell r="C87" t="str">
            <v>Gibraltar</v>
          </cell>
          <cell r="D87">
            <v>15</v>
          </cell>
          <cell r="E87">
            <v>26</v>
          </cell>
          <cell r="F87">
            <v>26</v>
          </cell>
          <cell r="G87">
            <v>27</v>
          </cell>
          <cell r="H87">
            <v>32</v>
          </cell>
          <cell r="I87">
            <v>32</v>
          </cell>
          <cell r="J87">
            <v>32</v>
          </cell>
          <cell r="K87">
            <v>31</v>
          </cell>
          <cell r="L87">
            <v>32</v>
          </cell>
          <cell r="M87">
            <v>31</v>
          </cell>
          <cell r="N87">
            <v>32</v>
          </cell>
          <cell r="O87">
            <v>33</v>
          </cell>
          <cell r="P87">
            <v>37</v>
          </cell>
          <cell r="Q87">
            <v>38</v>
          </cell>
          <cell r="R87">
            <v>38</v>
          </cell>
          <cell r="S87">
            <v>41</v>
          </cell>
          <cell r="T87">
            <v>41</v>
          </cell>
          <cell r="U87">
            <v>43</v>
          </cell>
          <cell r="V87">
            <v>43</v>
          </cell>
          <cell r="W87">
            <v>42</v>
          </cell>
          <cell r="X87">
            <v>43</v>
          </cell>
          <cell r="Y87">
            <v>43</v>
          </cell>
          <cell r="Z87">
            <v>43</v>
          </cell>
          <cell r="AA87">
            <v>43</v>
          </cell>
          <cell r="AB87">
            <v>42</v>
          </cell>
        </row>
        <row r="88">
          <cell r="C88" t="str">
            <v>Greece</v>
          </cell>
          <cell r="D88">
            <v>2676</v>
          </cell>
          <cell r="E88">
            <v>2593</v>
          </cell>
          <cell r="F88">
            <v>2579</v>
          </cell>
          <cell r="G88">
            <v>2575</v>
          </cell>
          <cell r="H88">
            <v>2594</v>
          </cell>
          <cell r="I88">
            <v>2616</v>
          </cell>
          <cell r="J88">
            <v>2643</v>
          </cell>
          <cell r="K88">
            <v>2656</v>
          </cell>
          <cell r="L88">
            <v>2639</v>
          </cell>
          <cell r="M88">
            <v>2637</v>
          </cell>
          <cell r="N88">
            <v>2623</v>
          </cell>
          <cell r="O88">
            <v>2722</v>
          </cell>
          <cell r="P88">
            <v>3428</v>
          </cell>
          <cell r="Q88">
            <v>3659</v>
          </cell>
          <cell r="R88">
            <v>3969</v>
          </cell>
          <cell r="S88">
            <v>4201</v>
          </cell>
          <cell r="T88">
            <v>4892</v>
          </cell>
          <cell r="U88">
            <v>5093</v>
          </cell>
          <cell r="V88">
            <v>5223</v>
          </cell>
          <cell r="W88">
            <v>5531</v>
          </cell>
          <cell r="X88">
            <v>6035</v>
          </cell>
          <cell r="Y88">
            <v>6676</v>
          </cell>
          <cell r="Z88">
            <v>6810</v>
          </cell>
          <cell r="AA88">
            <v>6957</v>
          </cell>
          <cell r="AB88">
            <v>7221</v>
          </cell>
        </row>
        <row r="89">
          <cell r="C89" t="str">
            <v>Greenland</v>
          </cell>
          <cell r="D89">
            <v>428</v>
          </cell>
          <cell r="E89">
            <v>417</v>
          </cell>
          <cell r="F89">
            <v>399</v>
          </cell>
          <cell r="G89">
            <v>399</v>
          </cell>
          <cell r="H89">
            <v>414</v>
          </cell>
          <cell r="I89">
            <v>416</v>
          </cell>
          <cell r="J89">
            <v>438</v>
          </cell>
          <cell r="K89">
            <v>429</v>
          </cell>
          <cell r="L89">
            <v>444</v>
          </cell>
          <cell r="M89">
            <v>422</v>
          </cell>
          <cell r="N89">
            <v>447</v>
          </cell>
          <cell r="O89">
            <v>468</v>
          </cell>
          <cell r="P89">
            <v>524</v>
          </cell>
          <cell r="Q89">
            <v>664</v>
          </cell>
          <cell r="R89">
            <v>423</v>
          </cell>
          <cell r="S89">
            <v>537</v>
          </cell>
          <cell r="T89">
            <v>503</v>
          </cell>
          <cell r="U89">
            <v>488</v>
          </cell>
          <cell r="V89">
            <v>472</v>
          </cell>
          <cell r="W89">
            <v>484</v>
          </cell>
          <cell r="X89">
            <v>493</v>
          </cell>
          <cell r="Y89">
            <v>569</v>
          </cell>
          <cell r="Z89">
            <v>587</v>
          </cell>
          <cell r="AA89">
            <v>613</v>
          </cell>
          <cell r="AB89">
            <v>688</v>
          </cell>
        </row>
        <row r="90">
          <cell r="C90" t="str">
            <v>Grenada, Windward Islands</v>
          </cell>
          <cell r="D90">
            <v>73</v>
          </cell>
          <cell r="E90">
            <v>71</v>
          </cell>
          <cell r="F90">
            <v>71</v>
          </cell>
          <cell r="G90">
            <v>71</v>
          </cell>
          <cell r="H90">
            <v>71</v>
          </cell>
          <cell r="I90">
            <v>71</v>
          </cell>
          <cell r="J90">
            <v>71</v>
          </cell>
          <cell r="K90">
            <v>71</v>
          </cell>
          <cell r="L90">
            <v>71</v>
          </cell>
          <cell r="M90">
            <v>71</v>
          </cell>
          <cell r="N90">
            <v>71</v>
          </cell>
          <cell r="O90">
            <v>71</v>
          </cell>
          <cell r="P90">
            <v>69</v>
          </cell>
          <cell r="Q90">
            <v>68</v>
          </cell>
          <cell r="R90">
            <v>68</v>
          </cell>
          <cell r="S90">
            <v>68</v>
          </cell>
          <cell r="T90">
            <v>66</v>
          </cell>
          <cell r="U90">
            <v>68</v>
          </cell>
          <cell r="V90">
            <v>68</v>
          </cell>
          <cell r="W90">
            <v>68</v>
          </cell>
          <cell r="X90">
            <v>68</v>
          </cell>
          <cell r="Y90">
            <v>69</v>
          </cell>
          <cell r="Z90">
            <v>69</v>
          </cell>
          <cell r="AA90">
            <v>70</v>
          </cell>
          <cell r="AB90">
            <v>70</v>
          </cell>
        </row>
        <row r="91">
          <cell r="C91" t="str">
            <v>Guadeloupe</v>
          </cell>
          <cell r="D91">
            <v>305</v>
          </cell>
          <cell r="E91">
            <v>288</v>
          </cell>
          <cell r="F91">
            <v>293</v>
          </cell>
          <cell r="G91">
            <v>296</v>
          </cell>
          <cell r="H91">
            <v>299</v>
          </cell>
          <cell r="I91">
            <v>296</v>
          </cell>
          <cell r="J91">
            <v>303</v>
          </cell>
          <cell r="K91">
            <v>317</v>
          </cell>
          <cell r="L91">
            <v>323</v>
          </cell>
          <cell r="M91">
            <v>298</v>
          </cell>
          <cell r="N91">
            <v>292</v>
          </cell>
          <cell r="O91">
            <v>280</v>
          </cell>
          <cell r="P91">
            <v>273</v>
          </cell>
          <cell r="Q91">
            <v>274</v>
          </cell>
          <cell r="R91">
            <v>288</v>
          </cell>
          <cell r="S91">
            <v>295</v>
          </cell>
          <cell r="T91">
            <v>290</v>
          </cell>
          <cell r="U91">
            <v>258</v>
          </cell>
          <cell r="V91">
            <v>253</v>
          </cell>
          <cell r="W91">
            <v>247</v>
          </cell>
          <cell r="X91">
            <v>248</v>
          </cell>
          <cell r="Y91">
            <v>247</v>
          </cell>
          <cell r="Z91">
            <v>249</v>
          </cell>
          <cell r="AA91">
            <v>256</v>
          </cell>
          <cell r="AB91">
            <v>249</v>
          </cell>
        </row>
        <row r="92">
          <cell r="C92" t="str">
            <v>Guam</v>
          </cell>
          <cell r="D92">
            <v>259</v>
          </cell>
          <cell r="E92">
            <v>259</v>
          </cell>
          <cell r="F92">
            <v>259</v>
          </cell>
          <cell r="G92">
            <v>259</v>
          </cell>
          <cell r="H92">
            <v>261</v>
          </cell>
          <cell r="I92">
            <v>259</v>
          </cell>
          <cell r="J92">
            <v>257</v>
          </cell>
          <cell r="K92">
            <v>259</v>
          </cell>
          <cell r="L92">
            <v>258</v>
          </cell>
          <cell r="M92">
            <v>263</v>
          </cell>
          <cell r="N92">
            <v>275</v>
          </cell>
          <cell r="O92">
            <v>272</v>
          </cell>
          <cell r="P92">
            <v>249</v>
          </cell>
          <cell r="Q92">
            <v>235</v>
          </cell>
          <cell r="R92">
            <v>234</v>
          </cell>
          <cell r="S92">
            <v>241</v>
          </cell>
          <cell r="T92">
            <v>263</v>
          </cell>
          <cell r="U92">
            <v>238</v>
          </cell>
          <cell r="V92">
            <v>232</v>
          </cell>
          <cell r="W92">
            <v>233</v>
          </cell>
          <cell r="X92">
            <v>233</v>
          </cell>
          <cell r="Y92">
            <v>233</v>
          </cell>
          <cell r="Z92">
            <v>233</v>
          </cell>
          <cell r="AA92">
            <v>233</v>
          </cell>
          <cell r="AB92">
            <v>233</v>
          </cell>
        </row>
        <row r="93">
          <cell r="C93" t="str">
            <v>Guatemala</v>
          </cell>
          <cell r="D93">
            <v>463</v>
          </cell>
          <cell r="E93">
            <v>464</v>
          </cell>
          <cell r="F93">
            <v>467</v>
          </cell>
          <cell r="G93">
            <v>453</v>
          </cell>
          <cell r="H93">
            <v>456</v>
          </cell>
          <cell r="I93">
            <v>452</v>
          </cell>
          <cell r="J93">
            <v>453</v>
          </cell>
          <cell r="K93">
            <v>458</v>
          </cell>
          <cell r="L93">
            <v>460</v>
          </cell>
          <cell r="M93">
            <v>462</v>
          </cell>
          <cell r="N93">
            <v>462</v>
          </cell>
          <cell r="O93">
            <v>456</v>
          </cell>
          <cell r="P93">
            <v>453</v>
          </cell>
          <cell r="Q93">
            <v>469</v>
          </cell>
          <cell r="R93">
            <v>468</v>
          </cell>
          <cell r="S93">
            <v>461</v>
          </cell>
          <cell r="T93">
            <v>445</v>
          </cell>
          <cell r="U93">
            <v>449</v>
          </cell>
          <cell r="V93">
            <v>450</v>
          </cell>
          <cell r="W93">
            <v>453</v>
          </cell>
          <cell r="X93">
            <v>448</v>
          </cell>
          <cell r="Y93">
            <v>448</v>
          </cell>
          <cell r="Z93">
            <v>454</v>
          </cell>
          <cell r="AA93">
            <v>455</v>
          </cell>
          <cell r="AB93">
            <v>458</v>
          </cell>
        </row>
        <row r="94">
          <cell r="C94" t="str">
            <v>Guinea</v>
          </cell>
          <cell r="D94">
            <v>78</v>
          </cell>
          <cell r="E94">
            <v>78</v>
          </cell>
          <cell r="F94">
            <v>74</v>
          </cell>
          <cell r="G94">
            <v>75</v>
          </cell>
          <cell r="H94">
            <v>73</v>
          </cell>
          <cell r="I94">
            <v>77</v>
          </cell>
          <cell r="J94">
            <v>74</v>
          </cell>
          <cell r="K94">
            <v>93</v>
          </cell>
          <cell r="L94">
            <v>79</v>
          </cell>
          <cell r="M94">
            <v>77</v>
          </cell>
          <cell r="N94">
            <v>79</v>
          </cell>
          <cell r="O94">
            <v>77</v>
          </cell>
          <cell r="P94">
            <v>81</v>
          </cell>
          <cell r="Q94">
            <v>81</v>
          </cell>
          <cell r="R94">
            <v>81</v>
          </cell>
          <cell r="S94">
            <v>81</v>
          </cell>
          <cell r="T94">
            <v>78</v>
          </cell>
          <cell r="U94">
            <v>82</v>
          </cell>
          <cell r="V94">
            <v>80</v>
          </cell>
          <cell r="W94">
            <v>80</v>
          </cell>
          <cell r="X94">
            <v>84</v>
          </cell>
          <cell r="Y94">
            <v>82</v>
          </cell>
          <cell r="Z94">
            <v>88</v>
          </cell>
          <cell r="AA94">
            <v>84</v>
          </cell>
          <cell r="AB94">
            <v>86</v>
          </cell>
        </row>
        <row r="95">
          <cell r="C95" t="str">
            <v>Guinea-Bissau</v>
          </cell>
          <cell r="D95">
            <v>29</v>
          </cell>
          <cell r="E95">
            <v>28</v>
          </cell>
          <cell r="F95">
            <v>26</v>
          </cell>
          <cell r="G95">
            <v>26</v>
          </cell>
          <cell r="H95">
            <v>26</v>
          </cell>
          <cell r="I95">
            <v>26</v>
          </cell>
          <cell r="J95">
            <v>24</v>
          </cell>
          <cell r="K95">
            <v>27</v>
          </cell>
          <cell r="L95">
            <v>27</v>
          </cell>
          <cell r="M95">
            <v>25</v>
          </cell>
          <cell r="N95">
            <v>25</v>
          </cell>
          <cell r="O95">
            <v>23</v>
          </cell>
          <cell r="P95">
            <v>24</v>
          </cell>
          <cell r="Q95">
            <v>26</v>
          </cell>
          <cell r="R95">
            <v>28</v>
          </cell>
          <cell r="S95">
            <v>28</v>
          </cell>
          <cell r="T95">
            <v>28</v>
          </cell>
          <cell r="U95">
            <v>25</v>
          </cell>
          <cell r="V95">
            <v>26</v>
          </cell>
          <cell r="W95">
            <v>23</v>
          </cell>
          <cell r="X95">
            <v>22</v>
          </cell>
          <cell r="Y95">
            <v>23</v>
          </cell>
          <cell r="Z95">
            <v>26</v>
          </cell>
          <cell r="AA95">
            <v>26</v>
          </cell>
          <cell r="AB95">
            <v>28</v>
          </cell>
        </row>
        <row r="96">
          <cell r="C96" t="str">
            <v>Guyana</v>
          </cell>
          <cell r="D96">
            <v>126</v>
          </cell>
          <cell r="E96">
            <v>128</v>
          </cell>
          <cell r="F96">
            <v>131</v>
          </cell>
          <cell r="G96">
            <v>129</v>
          </cell>
          <cell r="H96">
            <v>122</v>
          </cell>
          <cell r="I96">
            <v>124</v>
          </cell>
          <cell r="J96">
            <v>124</v>
          </cell>
          <cell r="K96">
            <v>127</v>
          </cell>
          <cell r="L96">
            <v>125</v>
          </cell>
          <cell r="M96">
            <v>128</v>
          </cell>
          <cell r="N96">
            <v>128</v>
          </cell>
          <cell r="O96">
            <v>127</v>
          </cell>
          <cell r="P96">
            <v>126</v>
          </cell>
          <cell r="Q96">
            <v>127</v>
          </cell>
          <cell r="R96">
            <v>129</v>
          </cell>
          <cell r="S96">
            <v>131</v>
          </cell>
          <cell r="T96">
            <v>134</v>
          </cell>
          <cell r="U96">
            <v>137</v>
          </cell>
          <cell r="V96">
            <v>137</v>
          </cell>
          <cell r="W96">
            <v>136</v>
          </cell>
          <cell r="X96">
            <v>136</v>
          </cell>
          <cell r="Y96">
            <v>135</v>
          </cell>
          <cell r="Z96">
            <v>135</v>
          </cell>
          <cell r="AA96">
            <v>134</v>
          </cell>
          <cell r="AB96">
            <v>135</v>
          </cell>
        </row>
        <row r="97">
          <cell r="C97" t="str">
            <v>Haiti</v>
          </cell>
          <cell r="D97">
            <v>147</v>
          </cell>
          <cell r="E97">
            <v>147</v>
          </cell>
          <cell r="F97">
            <v>144</v>
          </cell>
          <cell r="G97">
            <v>142</v>
          </cell>
          <cell r="H97">
            <v>142</v>
          </cell>
          <cell r="I97">
            <v>140</v>
          </cell>
          <cell r="J97">
            <v>142</v>
          </cell>
          <cell r="K97">
            <v>144</v>
          </cell>
          <cell r="L97">
            <v>144</v>
          </cell>
          <cell r="M97">
            <v>141</v>
          </cell>
          <cell r="N97">
            <v>140</v>
          </cell>
          <cell r="O97">
            <v>138</v>
          </cell>
          <cell r="P97">
            <v>129</v>
          </cell>
          <cell r="Q97">
            <v>120</v>
          </cell>
          <cell r="R97">
            <v>123</v>
          </cell>
          <cell r="S97">
            <v>127</v>
          </cell>
          <cell r="T97">
            <v>131</v>
          </cell>
          <cell r="U97">
            <v>133</v>
          </cell>
          <cell r="V97">
            <v>130</v>
          </cell>
          <cell r="W97">
            <v>203</v>
          </cell>
          <cell r="X97">
            <v>204</v>
          </cell>
          <cell r="Y97">
            <v>199</v>
          </cell>
          <cell r="Z97">
            <v>210</v>
          </cell>
          <cell r="AA97">
            <v>220</v>
          </cell>
          <cell r="AB97">
            <v>222</v>
          </cell>
        </row>
        <row r="98">
          <cell r="C98" t="str">
            <v>Honduras</v>
          </cell>
          <cell r="D98">
            <v>492</v>
          </cell>
          <cell r="E98">
            <v>478</v>
          </cell>
          <cell r="F98">
            <v>476</v>
          </cell>
          <cell r="G98">
            <v>472</v>
          </cell>
          <cell r="H98">
            <v>477</v>
          </cell>
          <cell r="I98">
            <v>467</v>
          </cell>
          <cell r="J98">
            <v>470</v>
          </cell>
          <cell r="K98">
            <v>473</v>
          </cell>
          <cell r="L98">
            <v>478</v>
          </cell>
          <cell r="M98">
            <v>480</v>
          </cell>
          <cell r="N98">
            <v>480</v>
          </cell>
          <cell r="O98">
            <v>471</v>
          </cell>
          <cell r="P98">
            <v>478</v>
          </cell>
          <cell r="Q98">
            <v>540</v>
          </cell>
          <cell r="R98">
            <v>535</v>
          </cell>
          <cell r="S98">
            <v>534</v>
          </cell>
          <cell r="T98">
            <v>529</v>
          </cell>
          <cell r="U98">
            <v>539</v>
          </cell>
          <cell r="V98">
            <v>539</v>
          </cell>
          <cell r="W98">
            <v>540</v>
          </cell>
          <cell r="X98">
            <v>539</v>
          </cell>
          <cell r="Y98">
            <v>549</v>
          </cell>
          <cell r="Z98">
            <v>559</v>
          </cell>
          <cell r="AA98">
            <v>515</v>
          </cell>
          <cell r="AB98">
            <v>512</v>
          </cell>
        </row>
        <row r="99">
          <cell r="C99" t="str">
            <v>Hong Kong (sar) China</v>
          </cell>
          <cell r="D99">
            <v>3726</v>
          </cell>
          <cell r="E99">
            <v>3733</v>
          </cell>
          <cell r="F99">
            <v>3768</v>
          </cell>
          <cell r="G99">
            <v>3813</v>
          </cell>
          <cell r="H99">
            <v>3810</v>
          </cell>
          <cell r="I99">
            <v>3818</v>
          </cell>
          <cell r="J99">
            <v>3763</v>
          </cell>
          <cell r="K99">
            <v>3752</v>
          </cell>
          <cell r="L99">
            <v>3701</v>
          </cell>
          <cell r="M99">
            <v>3723</v>
          </cell>
          <cell r="N99">
            <v>3737</v>
          </cell>
          <cell r="O99">
            <v>3744</v>
          </cell>
          <cell r="P99">
            <v>3748</v>
          </cell>
          <cell r="Q99">
            <v>3740</v>
          </cell>
          <cell r="R99">
            <v>3775</v>
          </cell>
          <cell r="S99">
            <v>3793</v>
          </cell>
          <cell r="T99">
            <v>3786</v>
          </cell>
          <cell r="U99">
            <v>3725</v>
          </cell>
          <cell r="V99">
            <v>3731</v>
          </cell>
          <cell r="W99">
            <v>3712</v>
          </cell>
          <cell r="X99">
            <v>3693</v>
          </cell>
          <cell r="Y99">
            <v>3739</v>
          </cell>
          <cell r="Z99">
            <v>3729</v>
          </cell>
          <cell r="AA99">
            <v>3752</v>
          </cell>
          <cell r="AB99">
            <v>3788</v>
          </cell>
        </row>
        <row r="100">
          <cell r="C100" t="str">
            <v>Hungary</v>
          </cell>
          <cell r="D100">
            <v>894</v>
          </cell>
          <cell r="E100">
            <v>866</v>
          </cell>
          <cell r="F100">
            <v>875</v>
          </cell>
          <cell r="G100">
            <v>880</v>
          </cell>
          <cell r="H100">
            <v>889</v>
          </cell>
          <cell r="I100">
            <v>900</v>
          </cell>
          <cell r="J100">
            <v>924</v>
          </cell>
          <cell r="K100">
            <v>938</v>
          </cell>
          <cell r="L100">
            <v>943</v>
          </cell>
          <cell r="M100">
            <v>945</v>
          </cell>
          <cell r="N100">
            <v>948</v>
          </cell>
          <cell r="O100">
            <v>959</v>
          </cell>
          <cell r="P100">
            <v>1073</v>
          </cell>
          <cell r="Q100">
            <v>1077</v>
          </cell>
          <cell r="R100">
            <v>1089</v>
          </cell>
          <cell r="S100">
            <v>1093</v>
          </cell>
          <cell r="T100">
            <v>1101</v>
          </cell>
          <cell r="U100">
            <v>1103</v>
          </cell>
          <cell r="V100">
            <v>1107</v>
          </cell>
          <cell r="W100">
            <v>1119</v>
          </cell>
          <cell r="X100">
            <v>1118</v>
          </cell>
          <cell r="Y100">
            <v>1128</v>
          </cell>
          <cell r="Z100">
            <v>1144</v>
          </cell>
          <cell r="AA100">
            <v>1154</v>
          </cell>
          <cell r="AB100">
            <v>1156</v>
          </cell>
        </row>
        <row r="101">
          <cell r="C101" t="str">
            <v>Iceland</v>
          </cell>
          <cell r="D101">
            <v>652</v>
          </cell>
          <cell r="E101">
            <v>622</v>
          </cell>
          <cell r="F101">
            <v>618</v>
          </cell>
          <cell r="G101">
            <v>619</v>
          </cell>
          <cell r="H101">
            <v>633</v>
          </cell>
          <cell r="I101">
            <v>643</v>
          </cell>
          <cell r="J101">
            <v>643</v>
          </cell>
          <cell r="K101">
            <v>650</v>
          </cell>
          <cell r="L101">
            <v>646</v>
          </cell>
          <cell r="M101">
            <v>650</v>
          </cell>
          <cell r="N101">
            <v>653</v>
          </cell>
          <cell r="O101">
            <v>641</v>
          </cell>
          <cell r="P101">
            <v>541</v>
          </cell>
          <cell r="Q101">
            <v>552</v>
          </cell>
          <cell r="R101">
            <v>517</v>
          </cell>
          <cell r="S101">
            <v>565</v>
          </cell>
          <cell r="T101">
            <v>575</v>
          </cell>
          <cell r="U101">
            <v>584</v>
          </cell>
          <cell r="V101">
            <v>629</v>
          </cell>
          <cell r="W101">
            <v>674</v>
          </cell>
          <cell r="X101">
            <v>713</v>
          </cell>
          <cell r="Y101">
            <v>751</v>
          </cell>
          <cell r="Z101">
            <v>764</v>
          </cell>
          <cell r="AA101">
            <v>769</v>
          </cell>
          <cell r="AB101">
            <v>778</v>
          </cell>
        </row>
        <row r="102">
          <cell r="C102" t="str">
            <v>India</v>
          </cell>
          <cell r="D102">
            <v>30012</v>
          </cell>
          <cell r="E102">
            <v>29896</v>
          </cell>
          <cell r="F102">
            <v>29531</v>
          </cell>
          <cell r="G102">
            <v>30167</v>
          </cell>
          <cell r="H102">
            <v>29719</v>
          </cell>
          <cell r="I102">
            <v>28783</v>
          </cell>
          <cell r="J102">
            <v>27800</v>
          </cell>
          <cell r="K102">
            <v>29032</v>
          </cell>
          <cell r="L102">
            <v>28275</v>
          </cell>
          <cell r="M102">
            <v>28025</v>
          </cell>
          <cell r="N102">
            <v>27775</v>
          </cell>
          <cell r="O102">
            <v>26686</v>
          </cell>
          <cell r="P102">
            <v>26861</v>
          </cell>
          <cell r="Q102">
            <v>27062</v>
          </cell>
          <cell r="R102">
            <v>27105</v>
          </cell>
          <cell r="S102">
            <v>27297</v>
          </cell>
          <cell r="T102">
            <v>27100</v>
          </cell>
          <cell r="U102">
            <v>27358</v>
          </cell>
          <cell r="V102">
            <v>28033</v>
          </cell>
          <cell r="W102">
            <v>27932</v>
          </cell>
          <cell r="X102">
            <v>28073</v>
          </cell>
          <cell r="Y102">
            <v>28048</v>
          </cell>
          <cell r="Z102">
            <v>28249</v>
          </cell>
          <cell r="AA102">
            <v>28150</v>
          </cell>
          <cell r="AB102">
            <v>28104</v>
          </cell>
        </row>
        <row r="103">
          <cell r="C103" t="str">
            <v>Indonesia</v>
          </cell>
          <cell r="D103">
            <v>21412</v>
          </cell>
          <cell r="E103">
            <v>20297</v>
          </cell>
          <cell r="F103">
            <v>20086</v>
          </cell>
          <cell r="G103">
            <v>20328</v>
          </cell>
          <cell r="H103">
            <v>20496</v>
          </cell>
          <cell r="I103">
            <v>20353</v>
          </cell>
          <cell r="J103">
            <v>20292</v>
          </cell>
          <cell r="K103">
            <v>20467</v>
          </cell>
          <cell r="L103">
            <v>20170</v>
          </cell>
          <cell r="M103">
            <v>19672</v>
          </cell>
          <cell r="N103">
            <v>19603</v>
          </cell>
          <cell r="O103">
            <v>19629</v>
          </cell>
          <cell r="P103">
            <v>20265</v>
          </cell>
          <cell r="Q103">
            <v>20340</v>
          </cell>
          <cell r="R103">
            <v>19689</v>
          </cell>
          <cell r="S103">
            <v>20354</v>
          </cell>
          <cell r="T103">
            <v>20914</v>
          </cell>
          <cell r="U103">
            <v>20661</v>
          </cell>
          <cell r="V103">
            <v>19299</v>
          </cell>
          <cell r="W103">
            <v>20215</v>
          </cell>
          <cell r="X103">
            <v>21311</v>
          </cell>
          <cell r="Y103">
            <v>21161</v>
          </cell>
          <cell r="Z103">
            <v>21847</v>
          </cell>
          <cell r="AA103">
            <v>21544</v>
          </cell>
          <cell r="AB103">
            <v>21265</v>
          </cell>
        </row>
        <row r="104">
          <cell r="C104" t="str">
            <v>Iran Islamic Republic of</v>
          </cell>
          <cell r="D104">
            <v>3581</v>
          </cell>
          <cell r="E104">
            <v>3581</v>
          </cell>
          <cell r="F104">
            <v>3358</v>
          </cell>
          <cell r="G104">
            <v>3368</v>
          </cell>
          <cell r="H104">
            <v>3369</v>
          </cell>
          <cell r="I104">
            <v>3371</v>
          </cell>
          <cell r="J104">
            <v>3369</v>
          </cell>
          <cell r="K104">
            <v>3342</v>
          </cell>
          <cell r="L104">
            <v>3345</v>
          </cell>
          <cell r="M104">
            <v>3345</v>
          </cell>
          <cell r="N104">
            <v>3318</v>
          </cell>
          <cell r="O104">
            <v>3081</v>
          </cell>
          <cell r="P104">
            <v>2860</v>
          </cell>
          <cell r="Q104">
            <v>2845</v>
          </cell>
          <cell r="R104">
            <v>2904</v>
          </cell>
          <cell r="S104">
            <v>2912</v>
          </cell>
          <cell r="T104">
            <v>2917</v>
          </cell>
          <cell r="U104">
            <v>2900</v>
          </cell>
          <cell r="V104">
            <v>2885</v>
          </cell>
          <cell r="W104">
            <v>2909</v>
          </cell>
          <cell r="X104">
            <v>2940</v>
          </cell>
          <cell r="Y104">
            <v>2950</v>
          </cell>
          <cell r="Z104">
            <v>2951</v>
          </cell>
          <cell r="AA104">
            <v>2939</v>
          </cell>
          <cell r="AB104">
            <v>3093</v>
          </cell>
        </row>
        <row r="105">
          <cell r="C105" t="str">
            <v>Iraq</v>
          </cell>
          <cell r="D105">
            <v>807</v>
          </cell>
          <cell r="E105">
            <v>807</v>
          </cell>
          <cell r="F105">
            <v>807</v>
          </cell>
          <cell r="G105">
            <v>836</v>
          </cell>
          <cell r="H105">
            <v>839</v>
          </cell>
          <cell r="I105">
            <v>833</v>
          </cell>
          <cell r="J105">
            <v>821</v>
          </cell>
          <cell r="K105">
            <v>804</v>
          </cell>
          <cell r="L105">
            <v>799</v>
          </cell>
          <cell r="M105">
            <v>799</v>
          </cell>
          <cell r="N105">
            <v>801</v>
          </cell>
          <cell r="O105">
            <v>775</v>
          </cell>
          <cell r="P105">
            <v>627</v>
          </cell>
          <cell r="Q105">
            <v>640</v>
          </cell>
          <cell r="R105">
            <v>832</v>
          </cell>
          <cell r="S105">
            <v>831</v>
          </cell>
          <cell r="T105">
            <v>822</v>
          </cell>
          <cell r="U105">
            <v>743</v>
          </cell>
          <cell r="V105">
            <v>726</v>
          </cell>
          <cell r="W105">
            <v>741</v>
          </cell>
          <cell r="X105">
            <v>805</v>
          </cell>
          <cell r="Y105">
            <v>870</v>
          </cell>
          <cell r="Z105">
            <v>901</v>
          </cell>
          <cell r="AA105">
            <v>888</v>
          </cell>
          <cell r="AB105">
            <v>920</v>
          </cell>
        </row>
        <row r="106">
          <cell r="C106" t="str">
            <v>Ireland Republic of</v>
          </cell>
          <cell r="D106">
            <v>2201</v>
          </cell>
          <cell r="E106">
            <v>2097</v>
          </cell>
          <cell r="F106">
            <v>2112</v>
          </cell>
          <cell r="G106">
            <v>2176</v>
          </cell>
          <cell r="H106">
            <v>2190</v>
          </cell>
          <cell r="I106">
            <v>2229</v>
          </cell>
          <cell r="J106">
            <v>2254</v>
          </cell>
          <cell r="K106">
            <v>2249</v>
          </cell>
          <cell r="L106">
            <v>2265</v>
          </cell>
          <cell r="M106">
            <v>2326</v>
          </cell>
          <cell r="N106">
            <v>2316</v>
          </cell>
          <cell r="O106">
            <v>2317</v>
          </cell>
          <cell r="P106">
            <v>2638</v>
          </cell>
          <cell r="Q106">
            <v>2692</v>
          </cell>
          <cell r="R106">
            <v>2715</v>
          </cell>
          <cell r="S106">
            <v>2726</v>
          </cell>
          <cell r="T106">
            <v>2774</v>
          </cell>
          <cell r="U106">
            <v>2802</v>
          </cell>
          <cell r="V106">
            <v>2839</v>
          </cell>
          <cell r="W106">
            <v>2860</v>
          </cell>
          <cell r="X106">
            <v>2891</v>
          </cell>
          <cell r="Y106">
            <v>2954</v>
          </cell>
          <cell r="Z106">
            <v>2949</v>
          </cell>
          <cell r="AA106">
            <v>2887</v>
          </cell>
          <cell r="AB106">
            <v>2970</v>
          </cell>
        </row>
        <row r="107">
          <cell r="C107" t="str">
            <v>Israel</v>
          </cell>
          <cell r="D107">
            <v>1376</v>
          </cell>
          <cell r="E107">
            <v>1354</v>
          </cell>
          <cell r="F107">
            <v>1346</v>
          </cell>
          <cell r="G107">
            <v>1344</v>
          </cell>
          <cell r="H107">
            <v>1350</v>
          </cell>
          <cell r="I107">
            <v>1362</v>
          </cell>
          <cell r="J107">
            <v>1349</v>
          </cell>
          <cell r="K107">
            <v>1386</v>
          </cell>
          <cell r="L107">
            <v>1396</v>
          </cell>
          <cell r="M107">
            <v>1412</v>
          </cell>
          <cell r="N107">
            <v>1428</v>
          </cell>
          <cell r="O107">
            <v>1452</v>
          </cell>
          <cell r="P107">
            <v>1438</v>
          </cell>
          <cell r="Q107">
            <v>1491</v>
          </cell>
          <cell r="R107">
            <v>1670</v>
          </cell>
          <cell r="S107">
            <v>1636</v>
          </cell>
          <cell r="T107">
            <v>1565</v>
          </cell>
          <cell r="U107">
            <v>1499</v>
          </cell>
          <cell r="V107">
            <v>1533</v>
          </cell>
          <cell r="W107">
            <v>1570</v>
          </cell>
          <cell r="X107">
            <v>1586</v>
          </cell>
          <cell r="Y107">
            <v>1581</v>
          </cell>
          <cell r="Z107">
            <v>1689</v>
          </cell>
          <cell r="AA107">
            <v>1691</v>
          </cell>
          <cell r="AB107">
            <v>1721</v>
          </cell>
        </row>
        <row r="108">
          <cell r="C108" t="str">
            <v>Italy</v>
          </cell>
          <cell r="D108">
            <v>11331</v>
          </cell>
          <cell r="E108">
            <v>11053</v>
          </cell>
          <cell r="F108">
            <v>11012</v>
          </cell>
          <cell r="G108">
            <v>11087</v>
          </cell>
          <cell r="H108">
            <v>11223</v>
          </cell>
          <cell r="I108">
            <v>11474</v>
          </cell>
          <cell r="J108">
            <v>11636</v>
          </cell>
          <cell r="K108">
            <v>11590</v>
          </cell>
          <cell r="L108">
            <v>11568</v>
          </cell>
          <cell r="M108">
            <v>11568</v>
          </cell>
          <cell r="N108">
            <v>11547</v>
          </cell>
          <cell r="O108">
            <v>11520</v>
          </cell>
          <cell r="P108">
            <v>13521</v>
          </cell>
          <cell r="Q108">
            <v>13685</v>
          </cell>
          <cell r="R108">
            <v>13912</v>
          </cell>
          <cell r="S108">
            <v>13959</v>
          </cell>
          <cell r="T108">
            <v>14033</v>
          </cell>
          <cell r="U108">
            <v>14205</v>
          </cell>
          <cell r="V108">
            <v>14315</v>
          </cell>
          <cell r="W108">
            <v>14090</v>
          </cell>
          <cell r="X108">
            <v>14721</v>
          </cell>
          <cell r="Y108">
            <v>15337</v>
          </cell>
          <cell r="Z108">
            <v>15513</v>
          </cell>
          <cell r="AA108">
            <v>15555</v>
          </cell>
          <cell r="AB108">
            <v>15927</v>
          </cell>
        </row>
        <row r="109">
          <cell r="C109" t="str">
            <v>Jamaica</v>
          </cell>
          <cell r="D109">
            <v>484</v>
          </cell>
          <cell r="E109">
            <v>482</v>
          </cell>
          <cell r="F109">
            <v>461</v>
          </cell>
          <cell r="G109">
            <v>470</v>
          </cell>
          <cell r="H109">
            <v>462</v>
          </cell>
          <cell r="I109">
            <v>484</v>
          </cell>
          <cell r="J109">
            <v>500</v>
          </cell>
          <cell r="K109">
            <v>516</v>
          </cell>
          <cell r="L109">
            <v>511</v>
          </cell>
          <cell r="M109">
            <v>525</v>
          </cell>
          <cell r="N109">
            <v>511</v>
          </cell>
          <cell r="O109">
            <v>503</v>
          </cell>
          <cell r="P109">
            <v>492</v>
          </cell>
          <cell r="Q109">
            <v>484</v>
          </cell>
          <cell r="R109">
            <v>480</v>
          </cell>
          <cell r="S109">
            <v>476</v>
          </cell>
          <cell r="T109">
            <v>438</v>
          </cell>
          <cell r="U109">
            <v>427</v>
          </cell>
          <cell r="V109">
            <v>423</v>
          </cell>
          <cell r="W109">
            <v>422</v>
          </cell>
          <cell r="X109">
            <v>419</v>
          </cell>
          <cell r="Y109">
            <v>433</v>
          </cell>
          <cell r="Z109">
            <v>471</v>
          </cell>
          <cell r="AA109">
            <v>487</v>
          </cell>
          <cell r="AB109">
            <v>492</v>
          </cell>
        </row>
        <row r="110">
          <cell r="C110" t="str">
            <v>Japan</v>
          </cell>
          <cell r="D110">
            <v>21892</v>
          </cell>
          <cell r="E110">
            <v>21940</v>
          </cell>
          <cell r="F110">
            <v>22030</v>
          </cell>
          <cell r="G110">
            <v>22106</v>
          </cell>
          <cell r="H110">
            <v>22239</v>
          </cell>
          <cell r="I110">
            <v>22131</v>
          </cell>
          <cell r="J110">
            <v>22049</v>
          </cell>
          <cell r="K110">
            <v>22188</v>
          </cell>
          <cell r="L110">
            <v>22204</v>
          </cell>
          <cell r="M110">
            <v>22230</v>
          </cell>
          <cell r="N110">
            <v>22364</v>
          </cell>
          <cell r="O110">
            <v>22589</v>
          </cell>
          <cell r="P110">
            <v>22925</v>
          </cell>
          <cell r="Q110">
            <v>22730</v>
          </cell>
          <cell r="R110">
            <v>22747</v>
          </cell>
          <cell r="S110">
            <v>22920</v>
          </cell>
          <cell r="T110">
            <v>23344</v>
          </cell>
          <cell r="U110">
            <v>22559</v>
          </cell>
          <cell r="V110">
            <v>22446</v>
          </cell>
          <cell r="W110">
            <v>22460</v>
          </cell>
          <cell r="X110">
            <v>22882</v>
          </cell>
          <cell r="Y110">
            <v>22963</v>
          </cell>
          <cell r="Z110">
            <v>22997</v>
          </cell>
          <cell r="AA110">
            <v>23010</v>
          </cell>
          <cell r="AB110">
            <v>23042</v>
          </cell>
        </row>
        <row r="111">
          <cell r="C111" t="str">
            <v>Jordan</v>
          </cell>
          <cell r="D111">
            <v>698</v>
          </cell>
          <cell r="E111">
            <v>679</v>
          </cell>
          <cell r="F111">
            <v>683</v>
          </cell>
          <cell r="G111">
            <v>687</v>
          </cell>
          <cell r="H111">
            <v>688</v>
          </cell>
          <cell r="I111">
            <v>695</v>
          </cell>
          <cell r="J111">
            <v>685</v>
          </cell>
          <cell r="K111">
            <v>686</v>
          </cell>
          <cell r="L111">
            <v>690</v>
          </cell>
          <cell r="M111">
            <v>693</v>
          </cell>
          <cell r="N111">
            <v>691</v>
          </cell>
          <cell r="O111">
            <v>681</v>
          </cell>
          <cell r="P111">
            <v>739</v>
          </cell>
          <cell r="Q111">
            <v>741</v>
          </cell>
          <cell r="R111">
            <v>743</v>
          </cell>
          <cell r="S111">
            <v>740</v>
          </cell>
          <cell r="T111">
            <v>733</v>
          </cell>
          <cell r="U111">
            <v>677</v>
          </cell>
          <cell r="V111">
            <v>655</v>
          </cell>
          <cell r="W111">
            <v>669</v>
          </cell>
          <cell r="X111">
            <v>729</v>
          </cell>
          <cell r="Y111">
            <v>834</v>
          </cell>
          <cell r="Z111">
            <v>824</v>
          </cell>
          <cell r="AA111">
            <v>819</v>
          </cell>
          <cell r="AB111">
            <v>838</v>
          </cell>
        </row>
        <row r="112">
          <cell r="C112" t="str">
            <v>Kazakhstan</v>
          </cell>
          <cell r="D112">
            <v>1398</v>
          </cell>
          <cell r="E112">
            <v>1405</v>
          </cell>
          <cell r="F112">
            <v>1402</v>
          </cell>
          <cell r="G112">
            <v>1401</v>
          </cell>
          <cell r="H112">
            <v>1387</v>
          </cell>
          <cell r="I112">
            <v>1392</v>
          </cell>
          <cell r="J112">
            <v>1397</v>
          </cell>
          <cell r="K112">
            <v>1404</v>
          </cell>
          <cell r="L112">
            <v>1406</v>
          </cell>
          <cell r="M112">
            <v>1417</v>
          </cell>
          <cell r="N112">
            <v>1420</v>
          </cell>
          <cell r="O112">
            <v>1408</v>
          </cell>
          <cell r="P112">
            <v>1489</v>
          </cell>
          <cell r="Q112">
            <v>1441</v>
          </cell>
          <cell r="R112">
            <v>1424</v>
          </cell>
          <cell r="S112">
            <v>1444</v>
          </cell>
          <cell r="T112">
            <v>1445</v>
          </cell>
          <cell r="U112">
            <v>1437</v>
          </cell>
          <cell r="V112">
            <v>1446</v>
          </cell>
          <cell r="W112">
            <v>1473</v>
          </cell>
          <cell r="X112">
            <v>1532</v>
          </cell>
          <cell r="Y112">
            <v>1653</v>
          </cell>
          <cell r="Z112">
            <v>1695</v>
          </cell>
          <cell r="AA112">
            <v>1728</v>
          </cell>
          <cell r="AB112">
            <v>1705</v>
          </cell>
        </row>
        <row r="113">
          <cell r="C113" t="str">
            <v>Kenya</v>
          </cell>
          <cell r="D113">
            <v>6407</v>
          </cell>
          <cell r="E113">
            <v>6415</v>
          </cell>
          <cell r="F113">
            <v>6435</v>
          </cell>
          <cell r="G113">
            <v>6307</v>
          </cell>
          <cell r="H113">
            <v>6144</v>
          </cell>
          <cell r="I113">
            <v>6131</v>
          </cell>
          <cell r="J113">
            <v>6130</v>
          </cell>
          <cell r="K113">
            <v>6068</v>
          </cell>
          <cell r="L113">
            <v>6028</v>
          </cell>
          <cell r="M113">
            <v>5982</v>
          </cell>
          <cell r="N113">
            <v>6005</v>
          </cell>
          <cell r="O113">
            <v>6024</v>
          </cell>
          <cell r="P113">
            <v>5928</v>
          </cell>
          <cell r="Q113">
            <v>5929</v>
          </cell>
          <cell r="R113">
            <v>5896</v>
          </cell>
          <cell r="S113">
            <v>5937</v>
          </cell>
          <cell r="T113">
            <v>5519</v>
          </cell>
          <cell r="U113">
            <v>5365</v>
          </cell>
          <cell r="V113">
            <v>5347</v>
          </cell>
          <cell r="W113">
            <v>5331</v>
          </cell>
          <cell r="X113">
            <v>5698</v>
          </cell>
          <cell r="Y113">
            <v>5524</v>
          </cell>
          <cell r="Z113">
            <v>5584</v>
          </cell>
          <cell r="AA113">
            <v>5644</v>
          </cell>
          <cell r="AB113">
            <v>5638</v>
          </cell>
        </row>
        <row r="114">
          <cell r="C114" t="str">
            <v>Kiribati</v>
          </cell>
          <cell r="D114">
            <v>117</v>
          </cell>
          <cell r="E114">
            <v>119</v>
          </cell>
          <cell r="F114">
            <v>119</v>
          </cell>
          <cell r="G114">
            <v>119</v>
          </cell>
          <cell r="H114">
            <v>120</v>
          </cell>
          <cell r="I114">
            <v>120</v>
          </cell>
          <cell r="J114">
            <v>119</v>
          </cell>
          <cell r="K114">
            <v>119</v>
          </cell>
          <cell r="L114">
            <v>119</v>
          </cell>
          <cell r="M114">
            <v>119</v>
          </cell>
          <cell r="N114">
            <v>119</v>
          </cell>
          <cell r="O114">
            <v>119</v>
          </cell>
          <cell r="P114">
            <v>119</v>
          </cell>
          <cell r="Q114">
            <v>118</v>
          </cell>
          <cell r="R114">
            <v>119</v>
          </cell>
          <cell r="S114">
            <v>118</v>
          </cell>
          <cell r="T114">
            <v>119</v>
          </cell>
          <cell r="U114">
            <v>118</v>
          </cell>
          <cell r="V114">
            <v>119</v>
          </cell>
          <cell r="W114">
            <v>118</v>
          </cell>
          <cell r="X114">
            <v>117</v>
          </cell>
          <cell r="Y114">
            <v>116</v>
          </cell>
          <cell r="Z114">
            <v>119</v>
          </cell>
          <cell r="AA114">
            <v>117</v>
          </cell>
          <cell r="AB114">
            <v>119</v>
          </cell>
        </row>
        <row r="115">
          <cell r="C115" t="str">
            <v>Korea Democratic People's Republic of</v>
          </cell>
          <cell r="D115">
            <v>7</v>
          </cell>
          <cell r="E115">
            <v>7</v>
          </cell>
          <cell r="F115">
            <v>7</v>
          </cell>
          <cell r="G115">
            <v>6</v>
          </cell>
          <cell r="H115">
            <v>6</v>
          </cell>
          <cell r="I115">
            <v>8</v>
          </cell>
          <cell r="J115">
            <v>8</v>
          </cell>
          <cell r="K115">
            <v>9</v>
          </cell>
          <cell r="L115">
            <v>9</v>
          </cell>
          <cell r="M115">
            <v>9</v>
          </cell>
          <cell r="N115">
            <v>9</v>
          </cell>
          <cell r="O115">
            <v>9</v>
          </cell>
          <cell r="P115">
            <v>10</v>
          </cell>
          <cell r="Q115">
            <v>10</v>
          </cell>
          <cell r="R115">
            <v>10</v>
          </cell>
          <cell r="S115">
            <v>12</v>
          </cell>
          <cell r="T115">
            <v>12</v>
          </cell>
          <cell r="U115">
            <v>10</v>
          </cell>
          <cell r="V115">
            <v>10</v>
          </cell>
          <cell r="W115">
            <v>10</v>
          </cell>
          <cell r="X115">
            <v>10</v>
          </cell>
          <cell r="Y115">
            <v>10</v>
          </cell>
          <cell r="Z115">
            <v>10</v>
          </cell>
          <cell r="AA115">
            <v>11</v>
          </cell>
          <cell r="AB115">
            <v>11</v>
          </cell>
        </row>
        <row r="116">
          <cell r="C116" t="str">
            <v>Korea Republic of</v>
          </cell>
          <cell r="D116">
            <v>8503</v>
          </cell>
          <cell r="E116">
            <v>8467</v>
          </cell>
          <cell r="F116">
            <v>8506</v>
          </cell>
          <cell r="G116">
            <v>8545</v>
          </cell>
          <cell r="H116">
            <v>8607</v>
          </cell>
          <cell r="I116">
            <v>8501</v>
          </cell>
          <cell r="J116">
            <v>8527</v>
          </cell>
          <cell r="K116">
            <v>8520</v>
          </cell>
          <cell r="L116">
            <v>8394</v>
          </cell>
          <cell r="M116">
            <v>8372</v>
          </cell>
          <cell r="N116">
            <v>8317</v>
          </cell>
          <cell r="O116">
            <v>8357</v>
          </cell>
          <cell r="P116">
            <v>8407</v>
          </cell>
          <cell r="Q116">
            <v>8475</v>
          </cell>
          <cell r="R116">
            <v>8507</v>
          </cell>
          <cell r="S116">
            <v>8562</v>
          </cell>
          <cell r="T116">
            <v>8647</v>
          </cell>
          <cell r="U116">
            <v>8668</v>
          </cell>
          <cell r="V116">
            <v>8688</v>
          </cell>
          <cell r="W116">
            <v>8697</v>
          </cell>
          <cell r="X116">
            <v>8698</v>
          </cell>
          <cell r="Y116">
            <v>8785</v>
          </cell>
          <cell r="Z116">
            <v>8746</v>
          </cell>
          <cell r="AA116">
            <v>8767</v>
          </cell>
          <cell r="AB116">
            <v>8777</v>
          </cell>
        </row>
        <row r="117">
          <cell r="C117" t="str">
            <v>Kuwait</v>
          </cell>
          <cell r="D117">
            <v>1065</v>
          </cell>
          <cell r="E117">
            <v>1063</v>
          </cell>
          <cell r="F117">
            <v>1070</v>
          </cell>
          <cell r="G117">
            <v>1056</v>
          </cell>
          <cell r="H117">
            <v>1066</v>
          </cell>
          <cell r="I117">
            <v>1062</v>
          </cell>
          <cell r="J117">
            <v>1103</v>
          </cell>
          <cell r="K117">
            <v>1109</v>
          </cell>
          <cell r="L117">
            <v>1071</v>
          </cell>
          <cell r="M117">
            <v>1063</v>
          </cell>
          <cell r="N117">
            <v>1076</v>
          </cell>
          <cell r="O117">
            <v>1022</v>
          </cell>
          <cell r="P117">
            <v>1027</v>
          </cell>
          <cell r="Q117">
            <v>1012</v>
          </cell>
          <cell r="R117">
            <v>1022</v>
          </cell>
          <cell r="S117">
            <v>1026</v>
          </cell>
          <cell r="T117">
            <v>1002</v>
          </cell>
          <cell r="U117">
            <v>954</v>
          </cell>
          <cell r="V117">
            <v>947</v>
          </cell>
          <cell r="W117">
            <v>970</v>
          </cell>
          <cell r="X117">
            <v>1044</v>
          </cell>
          <cell r="Y117">
            <v>1192</v>
          </cell>
          <cell r="Z117">
            <v>1186</v>
          </cell>
          <cell r="AA117">
            <v>1196</v>
          </cell>
          <cell r="AB117">
            <v>1188</v>
          </cell>
        </row>
        <row r="118">
          <cell r="C118" t="str">
            <v>Kyrgyzstan</v>
          </cell>
          <cell r="D118">
            <v>231</v>
          </cell>
          <cell r="E118">
            <v>238</v>
          </cell>
          <cell r="F118">
            <v>238</v>
          </cell>
          <cell r="G118">
            <v>227</v>
          </cell>
          <cell r="H118">
            <v>224</v>
          </cell>
          <cell r="I118">
            <v>228</v>
          </cell>
          <cell r="J118">
            <v>234</v>
          </cell>
          <cell r="K118">
            <v>243</v>
          </cell>
          <cell r="L118">
            <v>239</v>
          </cell>
          <cell r="M118">
            <v>235</v>
          </cell>
          <cell r="N118">
            <v>239</v>
          </cell>
          <cell r="O118">
            <v>213</v>
          </cell>
          <cell r="P118">
            <v>238</v>
          </cell>
          <cell r="Q118">
            <v>234</v>
          </cell>
          <cell r="R118">
            <v>245</v>
          </cell>
          <cell r="S118">
            <v>248</v>
          </cell>
          <cell r="T118">
            <v>236</v>
          </cell>
          <cell r="U118">
            <v>240</v>
          </cell>
          <cell r="V118">
            <v>237</v>
          </cell>
          <cell r="W118">
            <v>239</v>
          </cell>
          <cell r="X118">
            <v>246</v>
          </cell>
          <cell r="Y118">
            <v>244</v>
          </cell>
          <cell r="Z118">
            <v>242</v>
          </cell>
          <cell r="AA118">
            <v>248</v>
          </cell>
          <cell r="AB118">
            <v>238</v>
          </cell>
        </row>
        <row r="119">
          <cell r="C119" t="str">
            <v>Lao People's Democratic Republic</v>
          </cell>
          <cell r="D119">
            <v>621</v>
          </cell>
          <cell r="E119">
            <v>621</v>
          </cell>
          <cell r="F119">
            <v>623</v>
          </cell>
          <cell r="G119">
            <v>618</v>
          </cell>
          <cell r="H119">
            <v>610</v>
          </cell>
          <cell r="I119">
            <v>611</v>
          </cell>
          <cell r="J119">
            <v>611</v>
          </cell>
          <cell r="K119">
            <v>610</v>
          </cell>
          <cell r="L119">
            <v>626</v>
          </cell>
          <cell r="M119">
            <v>629</v>
          </cell>
          <cell r="N119">
            <v>626</v>
          </cell>
          <cell r="O119">
            <v>607</v>
          </cell>
          <cell r="P119">
            <v>585</v>
          </cell>
          <cell r="Q119">
            <v>589</v>
          </cell>
          <cell r="R119">
            <v>591</v>
          </cell>
          <cell r="S119">
            <v>580</v>
          </cell>
          <cell r="T119">
            <v>585</v>
          </cell>
          <cell r="U119">
            <v>574</v>
          </cell>
          <cell r="V119">
            <v>576</v>
          </cell>
          <cell r="W119">
            <v>553</v>
          </cell>
          <cell r="X119">
            <v>542</v>
          </cell>
          <cell r="Y119">
            <v>554</v>
          </cell>
          <cell r="Z119">
            <v>553</v>
          </cell>
          <cell r="AA119">
            <v>545</v>
          </cell>
          <cell r="AB119">
            <v>536</v>
          </cell>
        </row>
        <row r="120">
          <cell r="C120" t="str">
            <v>Latvia</v>
          </cell>
          <cell r="D120">
            <v>675</v>
          </cell>
          <cell r="E120">
            <v>653</v>
          </cell>
          <cell r="F120">
            <v>648</v>
          </cell>
          <cell r="G120">
            <v>648</v>
          </cell>
          <cell r="H120">
            <v>647</v>
          </cell>
          <cell r="I120">
            <v>647</v>
          </cell>
          <cell r="J120">
            <v>652</v>
          </cell>
          <cell r="K120">
            <v>662</v>
          </cell>
          <cell r="L120">
            <v>678</v>
          </cell>
          <cell r="M120">
            <v>676</v>
          </cell>
          <cell r="N120">
            <v>666</v>
          </cell>
          <cell r="O120">
            <v>684</v>
          </cell>
          <cell r="P120">
            <v>799</v>
          </cell>
          <cell r="Q120">
            <v>803</v>
          </cell>
          <cell r="R120">
            <v>812</v>
          </cell>
          <cell r="S120">
            <v>809</v>
          </cell>
          <cell r="T120">
            <v>810</v>
          </cell>
          <cell r="U120">
            <v>816</v>
          </cell>
          <cell r="V120">
            <v>825</v>
          </cell>
          <cell r="W120">
            <v>831</v>
          </cell>
          <cell r="X120">
            <v>869</v>
          </cell>
          <cell r="Y120">
            <v>880</v>
          </cell>
          <cell r="Z120">
            <v>882</v>
          </cell>
          <cell r="AA120">
            <v>870</v>
          </cell>
          <cell r="AB120">
            <v>849</v>
          </cell>
        </row>
        <row r="121">
          <cell r="C121" t="str">
            <v>Lebanon</v>
          </cell>
          <cell r="D121">
            <v>570</v>
          </cell>
          <cell r="E121">
            <v>555</v>
          </cell>
          <cell r="F121">
            <v>550</v>
          </cell>
          <cell r="G121">
            <v>550</v>
          </cell>
          <cell r="H121">
            <v>544</v>
          </cell>
          <cell r="I121">
            <v>541</v>
          </cell>
          <cell r="J121">
            <v>532</v>
          </cell>
          <cell r="K121">
            <v>532</v>
          </cell>
          <cell r="L121">
            <v>540</v>
          </cell>
          <cell r="M121">
            <v>541</v>
          </cell>
          <cell r="N121">
            <v>538</v>
          </cell>
          <cell r="O121">
            <v>537</v>
          </cell>
          <cell r="P121">
            <v>559</v>
          </cell>
          <cell r="Q121">
            <v>565</v>
          </cell>
          <cell r="R121">
            <v>646</v>
          </cell>
          <cell r="S121">
            <v>646</v>
          </cell>
          <cell r="T121">
            <v>613</v>
          </cell>
          <cell r="U121">
            <v>534</v>
          </cell>
          <cell r="V121">
            <v>518</v>
          </cell>
          <cell r="W121">
            <v>524</v>
          </cell>
          <cell r="X121">
            <v>581</v>
          </cell>
          <cell r="Y121">
            <v>677</v>
          </cell>
          <cell r="Z121">
            <v>681</v>
          </cell>
          <cell r="AA121">
            <v>697</v>
          </cell>
          <cell r="AB121">
            <v>729</v>
          </cell>
        </row>
        <row r="122">
          <cell r="C122" t="str">
            <v>Lesotho</v>
          </cell>
          <cell r="D122">
            <v>20</v>
          </cell>
          <cell r="E122">
            <v>21</v>
          </cell>
          <cell r="F122">
            <v>21</v>
          </cell>
          <cell r="G122">
            <v>21</v>
          </cell>
          <cell r="H122">
            <v>21</v>
          </cell>
          <cell r="I122">
            <v>21</v>
          </cell>
          <cell r="J122">
            <v>21</v>
          </cell>
          <cell r="K122">
            <v>21</v>
          </cell>
          <cell r="L122">
            <v>21</v>
          </cell>
          <cell r="M122">
            <v>21</v>
          </cell>
          <cell r="N122">
            <v>21</v>
          </cell>
          <cell r="O122">
            <v>21</v>
          </cell>
          <cell r="P122">
            <v>21</v>
          </cell>
          <cell r="Q122">
            <v>21</v>
          </cell>
          <cell r="R122">
            <v>19</v>
          </cell>
          <cell r="S122">
            <v>20</v>
          </cell>
          <cell r="T122">
            <v>21</v>
          </cell>
          <cell r="U122">
            <v>20</v>
          </cell>
          <cell r="V122">
            <v>21</v>
          </cell>
          <cell r="W122">
            <v>21</v>
          </cell>
          <cell r="X122">
            <v>21</v>
          </cell>
          <cell r="Y122">
            <v>21</v>
          </cell>
          <cell r="Z122">
            <v>21</v>
          </cell>
          <cell r="AA122">
            <v>21</v>
          </cell>
          <cell r="AB122">
            <v>21</v>
          </cell>
        </row>
        <row r="123">
          <cell r="C123" t="str">
            <v>Liberia</v>
          </cell>
          <cell r="D123">
            <v>46</v>
          </cell>
          <cell r="E123">
            <v>55</v>
          </cell>
          <cell r="F123">
            <v>48</v>
          </cell>
          <cell r="G123">
            <v>48</v>
          </cell>
          <cell r="H123">
            <v>47</v>
          </cell>
          <cell r="I123">
            <v>47</v>
          </cell>
          <cell r="J123">
            <v>47</v>
          </cell>
          <cell r="K123">
            <v>50</v>
          </cell>
          <cell r="L123">
            <v>49</v>
          </cell>
          <cell r="M123">
            <v>47</v>
          </cell>
          <cell r="N123">
            <v>48</v>
          </cell>
          <cell r="O123">
            <v>48</v>
          </cell>
          <cell r="P123">
            <v>48</v>
          </cell>
          <cell r="Q123">
            <v>48</v>
          </cell>
          <cell r="R123">
            <v>47</v>
          </cell>
          <cell r="S123">
            <v>47</v>
          </cell>
          <cell r="T123">
            <v>45</v>
          </cell>
          <cell r="U123">
            <v>47</v>
          </cell>
          <cell r="V123">
            <v>47</v>
          </cell>
          <cell r="W123">
            <v>47</v>
          </cell>
          <cell r="X123">
            <v>47</v>
          </cell>
          <cell r="Y123">
            <v>48</v>
          </cell>
          <cell r="Z123">
            <v>49</v>
          </cell>
          <cell r="AA123">
            <v>49</v>
          </cell>
          <cell r="AB123">
            <v>49</v>
          </cell>
        </row>
        <row r="124">
          <cell r="C124" t="str">
            <v>Libya</v>
          </cell>
          <cell r="D124">
            <v>95</v>
          </cell>
          <cell r="E124">
            <v>95</v>
          </cell>
          <cell r="F124">
            <v>102</v>
          </cell>
          <cell r="G124">
            <v>102</v>
          </cell>
          <cell r="H124">
            <v>102</v>
          </cell>
          <cell r="I124">
            <v>102</v>
          </cell>
          <cell r="J124">
            <v>111</v>
          </cell>
          <cell r="K124">
            <v>111</v>
          </cell>
          <cell r="L124">
            <v>111</v>
          </cell>
          <cell r="M124">
            <v>111</v>
          </cell>
          <cell r="N124">
            <v>124</v>
          </cell>
          <cell r="O124">
            <v>60</v>
          </cell>
          <cell r="P124">
            <v>40</v>
          </cell>
          <cell r="Q124">
            <v>125</v>
          </cell>
          <cell r="R124">
            <v>131</v>
          </cell>
          <cell r="S124">
            <v>131</v>
          </cell>
          <cell r="T124">
            <v>131</v>
          </cell>
          <cell r="U124">
            <v>123</v>
          </cell>
          <cell r="V124">
            <v>115</v>
          </cell>
          <cell r="W124">
            <v>133</v>
          </cell>
          <cell r="X124">
            <v>135</v>
          </cell>
          <cell r="Y124">
            <v>143</v>
          </cell>
          <cell r="Z124">
            <v>143</v>
          </cell>
          <cell r="AA124">
            <v>137</v>
          </cell>
          <cell r="AB124">
            <v>127</v>
          </cell>
        </row>
        <row r="125">
          <cell r="C125" t="str">
            <v>Lithuania</v>
          </cell>
          <cell r="D125">
            <v>442</v>
          </cell>
          <cell r="E125">
            <v>432</v>
          </cell>
          <cell r="F125">
            <v>430</v>
          </cell>
          <cell r="G125">
            <v>435</v>
          </cell>
          <cell r="H125">
            <v>437</v>
          </cell>
          <cell r="I125">
            <v>440</v>
          </cell>
          <cell r="J125">
            <v>441</v>
          </cell>
          <cell r="K125">
            <v>446</v>
          </cell>
          <cell r="L125">
            <v>446</v>
          </cell>
          <cell r="M125">
            <v>445</v>
          </cell>
          <cell r="N125">
            <v>442</v>
          </cell>
          <cell r="O125">
            <v>448</v>
          </cell>
          <cell r="P125">
            <v>475</v>
          </cell>
          <cell r="Q125">
            <v>476</v>
          </cell>
          <cell r="R125">
            <v>461</v>
          </cell>
          <cell r="S125">
            <v>486</v>
          </cell>
          <cell r="T125">
            <v>499</v>
          </cell>
          <cell r="U125">
            <v>501</v>
          </cell>
          <cell r="V125">
            <v>510</v>
          </cell>
          <cell r="W125">
            <v>511</v>
          </cell>
          <cell r="X125">
            <v>500</v>
          </cell>
          <cell r="Y125">
            <v>508</v>
          </cell>
          <cell r="Z125">
            <v>516</v>
          </cell>
          <cell r="AA125">
            <v>504</v>
          </cell>
          <cell r="AB125">
            <v>511</v>
          </cell>
        </row>
        <row r="126">
          <cell r="C126" t="str">
            <v>Luxembourg</v>
          </cell>
          <cell r="D126">
            <v>443</v>
          </cell>
          <cell r="E126">
            <v>467</v>
          </cell>
          <cell r="F126">
            <v>472</v>
          </cell>
          <cell r="G126">
            <v>471</v>
          </cell>
          <cell r="H126">
            <v>481</v>
          </cell>
          <cell r="I126">
            <v>488</v>
          </cell>
          <cell r="J126">
            <v>498</v>
          </cell>
          <cell r="K126">
            <v>495</v>
          </cell>
          <cell r="L126">
            <v>494</v>
          </cell>
          <cell r="M126">
            <v>479</v>
          </cell>
          <cell r="N126">
            <v>479</v>
          </cell>
          <cell r="O126">
            <v>484</v>
          </cell>
          <cell r="P126">
            <v>546</v>
          </cell>
          <cell r="Q126">
            <v>559</v>
          </cell>
          <cell r="R126">
            <v>555</v>
          </cell>
          <cell r="S126">
            <v>553</v>
          </cell>
          <cell r="T126">
            <v>562</v>
          </cell>
          <cell r="U126">
            <v>557</v>
          </cell>
          <cell r="V126">
            <v>572</v>
          </cell>
          <cell r="W126">
            <v>575</v>
          </cell>
          <cell r="X126">
            <v>563</v>
          </cell>
          <cell r="Y126">
            <v>579</v>
          </cell>
          <cell r="Z126">
            <v>572</v>
          </cell>
          <cell r="AA126">
            <v>577</v>
          </cell>
          <cell r="AB126">
            <v>583</v>
          </cell>
        </row>
        <row r="127">
          <cell r="C127" t="str">
            <v>Macao (sar) China</v>
          </cell>
          <cell r="D127">
            <v>793</v>
          </cell>
          <cell r="E127">
            <v>796</v>
          </cell>
          <cell r="F127">
            <v>813</v>
          </cell>
          <cell r="G127">
            <v>838</v>
          </cell>
          <cell r="H127">
            <v>872</v>
          </cell>
          <cell r="I127">
            <v>859</v>
          </cell>
          <cell r="J127">
            <v>831</v>
          </cell>
          <cell r="K127">
            <v>827</v>
          </cell>
          <cell r="L127">
            <v>813</v>
          </cell>
          <cell r="M127">
            <v>810</v>
          </cell>
          <cell r="N127">
            <v>816</v>
          </cell>
          <cell r="O127">
            <v>821</v>
          </cell>
          <cell r="P127">
            <v>849</v>
          </cell>
          <cell r="Q127">
            <v>852</v>
          </cell>
          <cell r="R127">
            <v>852</v>
          </cell>
          <cell r="S127">
            <v>855</v>
          </cell>
          <cell r="T127">
            <v>875</v>
          </cell>
          <cell r="U127">
            <v>858</v>
          </cell>
          <cell r="V127">
            <v>855</v>
          </cell>
          <cell r="W127">
            <v>844</v>
          </cell>
          <cell r="X127">
            <v>846</v>
          </cell>
          <cell r="Y127">
            <v>853</v>
          </cell>
          <cell r="Z127">
            <v>851</v>
          </cell>
          <cell r="AA127">
            <v>868</v>
          </cell>
          <cell r="AB127">
            <v>880</v>
          </cell>
        </row>
        <row r="128">
          <cell r="C128" t="str">
            <v>Macedonia Former Yugoslav Republic of</v>
          </cell>
          <cell r="D128">
            <v>145</v>
          </cell>
          <cell r="E128">
            <v>133</v>
          </cell>
          <cell r="F128">
            <v>134</v>
          </cell>
          <cell r="G128">
            <v>133</v>
          </cell>
          <cell r="H128">
            <v>133</v>
          </cell>
          <cell r="I128">
            <v>134</v>
          </cell>
          <cell r="J128">
            <v>133</v>
          </cell>
          <cell r="K128">
            <v>136</v>
          </cell>
          <cell r="L128">
            <v>134</v>
          </cell>
          <cell r="M128">
            <v>136</v>
          </cell>
          <cell r="N128">
            <v>143</v>
          </cell>
          <cell r="O128">
            <v>147</v>
          </cell>
          <cell r="P128">
            <v>163</v>
          </cell>
          <cell r="Q128">
            <v>167</v>
          </cell>
          <cell r="R128">
            <v>180</v>
          </cell>
          <cell r="S128">
            <v>182</v>
          </cell>
          <cell r="T128">
            <v>184</v>
          </cell>
          <cell r="U128">
            <v>176</v>
          </cell>
          <cell r="V128">
            <v>168</v>
          </cell>
          <cell r="W128">
            <v>166</v>
          </cell>
          <cell r="X128">
            <v>177</v>
          </cell>
          <cell r="Y128">
            <v>181</v>
          </cell>
          <cell r="Z128">
            <v>188</v>
          </cell>
          <cell r="AA128">
            <v>195</v>
          </cell>
          <cell r="AB128">
            <v>190</v>
          </cell>
        </row>
        <row r="129">
          <cell r="C129" t="str">
            <v>Madagascar</v>
          </cell>
          <cell r="D129">
            <v>300</v>
          </cell>
          <cell r="E129">
            <v>308</v>
          </cell>
          <cell r="F129">
            <v>304</v>
          </cell>
          <cell r="G129">
            <v>298</v>
          </cell>
          <cell r="H129">
            <v>297</v>
          </cell>
          <cell r="I129">
            <v>298</v>
          </cell>
          <cell r="J129">
            <v>290</v>
          </cell>
          <cell r="K129">
            <v>293</v>
          </cell>
          <cell r="L129">
            <v>294</v>
          </cell>
          <cell r="M129">
            <v>303</v>
          </cell>
          <cell r="N129">
            <v>301</v>
          </cell>
          <cell r="O129">
            <v>289</v>
          </cell>
          <cell r="P129">
            <v>283</v>
          </cell>
          <cell r="Q129">
            <v>278</v>
          </cell>
          <cell r="R129">
            <v>279</v>
          </cell>
          <cell r="S129">
            <v>279</v>
          </cell>
          <cell r="T129">
            <v>273</v>
          </cell>
          <cell r="U129">
            <v>273</v>
          </cell>
          <cell r="V129">
            <v>272</v>
          </cell>
          <cell r="W129">
            <v>266</v>
          </cell>
          <cell r="X129">
            <v>266</v>
          </cell>
          <cell r="Y129">
            <v>265</v>
          </cell>
          <cell r="Z129">
            <v>264</v>
          </cell>
          <cell r="AA129">
            <v>271</v>
          </cell>
          <cell r="AB129">
            <v>277</v>
          </cell>
        </row>
        <row r="130">
          <cell r="C130" t="str">
            <v>Malawi</v>
          </cell>
          <cell r="D130">
            <v>344</v>
          </cell>
          <cell r="E130">
            <v>257</v>
          </cell>
          <cell r="F130">
            <v>221</v>
          </cell>
          <cell r="G130">
            <v>217</v>
          </cell>
          <cell r="H130">
            <v>224</v>
          </cell>
          <cell r="I130">
            <v>223</v>
          </cell>
          <cell r="J130">
            <v>217</v>
          </cell>
          <cell r="K130">
            <v>220</v>
          </cell>
          <cell r="L130">
            <v>219</v>
          </cell>
          <cell r="M130">
            <v>185</v>
          </cell>
          <cell r="N130">
            <v>143</v>
          </cell>
          <cell r="O130">
            <v>156</v>
          </cell>
          <cell r="P130">
            <v>135</v>
          </cell>
          <cell r="Q130">
            <v>159</v>
          </cell>
          <cell r="R130">
            <v>217</v>
          </cell>
          <cell r="S130">
            <v>226</v>
          </cell>
          <cell r="T130">
            <v>233</v>
          </cell>
          <cell r="U130">
            <v>236</v>
          </cell>
          <cell r="V130">
            <v>241</v>
          </cell>
          <cell r="W130">
            <v>234</v>
          </cell>
          <cell r="X130">
            <v>328</v>
          </cell>
          <cell r="Y130">
            <v>326</v>
          </cell>
          <cell r="Z130">
            <v>327</v>
          </cell>
          <cell r="AA130">
            <v>325</v>
          </cell>
          <cell r="AB130">
            <v>324</v>
          </cell>
        </row>
        <row r="131">
          <cell r="C131" t="str">
            <v>Malaysia</v>
          </cell>
          <cell r="D131">
            <v>8342</v>
          </cell>
          <cell r="E131">
            <v>8331</v>
          </cell>
          <cell r="F131">
            <v>8363</v>
          </cell>
          <cell r="G131">
            <v>8740</v>
          </cell>
          <cell r="H131">
            <v>8962</v>
          </cell>
          <cell r="I131">
            <v>8679</v>
          </cell>
          <cell r="J131">
            <v>8363</v>
          </cell>
          <cell r="K131">
            <v>8465</v>
          </cell>
          <cell r="L131">
            <v>8583</v>
          </cell>
          <cell r="M131">
            <v>8614</v>
          </cell>
          <cell r="N131">
            <v>8485</v>
          </cell>
          <cell r="O131">
            <v>8587</v>
          </cell>
          <cell r="P131">
            <v>8623</v>
          </cell>
          <cell r="Q131">
            <v>8639</v>
          </cell>
          <cell r="R131">
            <v>8620</v>
          </cell>
          <cell r="S131">
            <v>8662</v>
          </cell>
          <cell r="T131">
            <v>8546</v>
          </cell>
          <cell r="U131">
            <v>7974</v>
          </cell>
          <cell r="V131">
            <v>7828</v>
          </cell>
          <cell r="W131">
            <v>8070</v>
          </cell>
          <cell r="X131">
            <v>8742</v>
          </cell>
          <cell r="Y131">
            <v>9142</v>
          </cell>
          <cell r="Z131">
            <v>9115</v>
          </cell>
          <cell r="AA131">
            <v>8633</v>
          </cell>
          <cell r="AB131">
            <v>8616</v>
          </cell>
        </row>
        <row r="132">
          <cell r="C132" t="str">
            <v>Maldives</v>
          </cell>
          <cell r="D132">
            <v>1372</v>
          </cell>
          <cell r="E132">
            <v>1366</v>
          </cell>
          <cell r="F132">
            <v>1370</v>
          </cell>
          <cell r="G132">
            <v>1375</v>
          </cell>
          <cell r="H132">
            <v>1374</v>
          </cell>
          <cell r="I132">
            <v>1373</v>
          </cell>
          <cell r="J132">
            <v>1366</v>
          </cell>
          <cell r="K132">
            <v>1364</v>
          </cell>
          <cell r="L132">
            <v>1366</v>
          </cell>
          <cell r="M132">
            <v>1366</v>
          </cell>
          <cell r="N132">
            <v>1367</v>
          </cell>
          <cell r="O132">
            <v>1232</v>
          </cell>
          <cell r="P132">
            <v>489</v>
          </cell>
          <cell r="Q132">
            <v>495</v>
          </cell>
          <cell r="R132">
            <v>484</v>
          </cell>
          <cell r="S132">
            <v>1064</v>
          </cell>
          <cell r="T132">
            <v>1040</v>
          </cell>
          <cell r="U132">
            <v>1030</v>
          </cell>
          <cell r="V132">
            <v>1025</v>
          </cell>
          <cell r="W132">
            <v>1028</v>
          </cell>
          <cell r="X132">
            <v>1071</v>
          </cell>
          <cell r="Y132">
            <v>1077</v>
          </cell>
          <cell r="Z132">
            <v>1077</v>
          </cell>
          <cell r="AA132">
            <v>1071</v>
          </cell>
          <cell r="AB132">
            <v>1071</v>
          </cell>
        </row>
        <row r="133">
          <cell r="C133" t="str">
            <v>Mali</v>
          </cell>
          <cell r="D133">
            <v>116</v>
          </cell>
          <cell r="E133">
            <v>112</v>
          </cell>
          <cell r="F133">
            <v>107</v>
          </cell>
          <cell r="G133">
            <v>107</v>
          </cell>
          <cell r="H133">
            <v>107</v>
          </cell>
          <cell r="I133">
            <v>108</v>
          </cell>
          <cell r="J133">
            <v>107</v>
          </cell>
          <cell r="K133">
            <v>108</v>
          </cell>
          <cell r="L133">
            <v>105</v>
          </cell>
          <cell r="M133">
            <v>106</v>
          </cell>
          <cell r="N133">
            <v>107</v>
          </cell>
          <cell r="O133">
            <v>99</v>
          </cell>
          <cell r="P133">
            <v>104</v>
          </cell>
          <cell r="Q133">
            <v>106</v>
          </cell>
          <cell r="R133">
            <v>109</v>
          </cell>
          <cell r="S133">
            <v>109</v>
          </cell>
          <cell r="T133">
            <v>108</v>
          </cell>
          <cell r="U133">
            <v>105</v>
          </cell>
          <cell r="V133">
            <v>105</v>
          </cell>
          <cell r="W133">
            <v>102</v>
          </cell>
          <cell r="X133">
            <v>100</v>
          </cell>
          <cell r="Y133">
            <v>105</v>
          </cell>
          <cell r="Z133">
            <v>110</v>
          </cell>
          <cell r="AA133">
            <v>114</v>
          </cell>
          <cell r="AB133">
            <v>116</v>
          </cell>
        </row>
        <row r="134">
          <cell r="C134" t="str">
            <v>Malta</v>
          </cell>
          <cell r="D134">
            <v>346</v>
          </cell>
          <cell r="E134">
            <v>329</v>
          </cell>
          <cell r="F134">
            <v>332</v>
          </cell>
          <cell r="G134">
            <v>332</v>
          </cell>
          <cell r="H134">
            <v>327</v>
          </cell>
          <cell r="I134">
            <v>339</v>
          </cell>
          <cell r="J134">
            <v>341</v>
          </cell>
          <cell r="K134">
            <v>352</v>
          </cell>
          <cell r="L134">
            <v>368</v>
          </cell>
          <cell r="M134">
            <v>367</v>
          </cell>
          <cell r="N134">
            <v>373</v>
          </cell>
          <cell r="O134">
            <v>381</v>
          </cell>
          <cell r="P134">
            <v>507</v>
          </cell>
          <cell r="Q134">
            <v>511</v>
          </cell>
          <cell r="R134">
            <v>517</v>
          </cell>
          <cell r="S134">
            <v>521</v>
          </cell>
          <cell r="T134">
            <v>528</v>
          </cell>
          <cell r="U134">
            <v>528</v>
          </cell>
          <cell r="V134">
            <v>526</v>
          </cell>
          <cell r="W134">
            <v>530</v>
          </cell>
          <cell r="X134">
            <v>539</v>
          </cell>
          <cell r="Y134">
            <v>553</v>
          </cell>
          <cell r="Z134">
            <v>558</v>
          </cell>
          <cell r="AA134">
            <v>554</v>
          </cell>
          <cell r="AB134">
            <v>575</v>
          </cell>
        </row>
        <row r="135">
          <cell r="C135" t="str">
            <v>Marshall Islands</v>
          </cell>
          <cell r="D135">
            <v>123</v>
          </cell>
          <cell r="E135">
            <v>125</v>
          </cell>
          <cell r="F135">
            <v>125</v>
          </cell>
          <cell r="G135">
            <v>125</v>
          </cell>
          <cell r="H135">
            <v>125</v>
          </cell>
          <cell r="I135">
            <v>58</v>
          </cell>
          <cell r="J135">
            <v>58</v>
          </cell>
          <cell r="K135">
            <v>59</v>
          </cell>
          <cell r="L135">
            <v>55</v>
          </cell>
          <cell r="M135">
            <v>55</v>
          </cell>
          <cell r="N135">
            <v>55</v>
          </cell>
          <cell r="O135">
            <v>51</v>
          </cell>
          <cell r="P135">
            <v>54</v>
          </cell>
          <cell r="Q135">
            <v>56</v>
          </cell>
          <cell r="R135">
            <v>56</v>
          </cell>
          <cell r="S135">
            <v>41</v>
          </cell>
          <cell r="T135">
            <v>43</v>
          </cell>
          <cell r="U135">
            <v>47</v>
          </cell>
          <cell r="V135">
            <v>49</v>
          </cell>
          <cell r="W135">
            <v>44</v>
          </cell>
          <cell r="X135">
            <v>47</v>
          </cell>
          <cell r="Y135">
            <v>50</v>
          </cell>
          <cell r="Z135">
            <v>51</v>
          </cell>
          <cell r="AA135">
            <v>51</v>
          </cell>
          <cell r="AB135">
            <v>52</v>
          </cell>
        </row>
        <row r="136">
          <cell r="C136" t="str">
            <v>Martinique</v>
          </cell>
          <cell r="D136">
            <v>215</v>
          </cell>
          <cell r="E136">
            <v>203</v>
          </cell>
          <cell r="F136">
            <v>212</v>
          </cell>
          <cell r="G136">
            <v>213</v>
          </cell>
          <cell r="H136">
            <v>216</v>
          </cell>
          <cell r="I136">
            <v>215</v>
          </cell>
          <cell r="J136">
            <v>221</v>
          </cell>
          <cell r="K136">
            <v>230</v>
          </cell>
          <cell r="L136">
            <v>231</v>
          </cell>
          <cell r="M136">
            <v>215</v>
          </cell>
          <cell r="N136">
            <v>209</v>
          </cell>
          <cell r="O136">
            <v>207</v>
          </cell>
          <cell r="P136">
            <v>196</v>
          </cell>
          <cell r="Q136">
            <v>192</v>
          </cell>
          <cell r="R136">
            <v>209</v>
          </cell>
          <cell r="S136">
            <v>211</v>
          </cell>
          <cell r="T136">
            <v>206</v>
          </cell>
          <cell r="U136">
            <v>174</v>
          </cell>
          <cell r="V136">
            <v>169</v>
          </cell>
          <cell r="W136">
            <v>166</v>
          </cell>
          <cell r="X136">
            <v>167</v>
          </cell>
          <cell r="Y136">
            <v>169</v>
          </cell>
          <cell r="Z136">
            <v>175</v>
          </cell>
          <cell r="AA136">
            <v>178</v>
          </cell>
          <cell r="AB136">
            <v>187</v>
          </cell>
        </row>
        <row r="137">
          <cell r="C137" t="str">
            <v>Mauritania</v>
          </cell>
          <cell r="D137">
            <v>104</v>
          </cell>
          <cell r="E137">
            <v>105</v>
          </cell>
          <cell r="F137">
            <v>107</v>
          </cell>
          <cell r="G137">
            <v>102</v>
          </cell>
          <cell r="H137">
            <v>100</v>
          </cell>
          <cell r="I137">
            <v>102</v>
          </cell>
          <cell r="J137">
            <v>102</v>
          </cell>
          <cell r="K137">
            <v>103</v>
          </cell>
          <cell r="L137">
            <v>103</v>
          </cell>
          <cell r="M137">
            <v>102</v>
          </cell>
          <cell r="N137">
            <v>102</v>
          </cell>
          <cell r="O137">
            <v>103</v>
          </cell>
          <cell r="P137">
            <v>103</v>
          </cell>
          <cell r="Q137">
            <v>107</v>
          </cell>
          <cell r="R137">
            <v>109</v>
          </cell>
          <cell r="S137">
            <v>109</v>
          </cell>
          <cell r="T137">
            <v>102</v>
          </cell>
          <cell r="U137">
            <v>101</v>
          </cell>
          <cell r="V137">
            <v>101</v>
          </cell>
          <cell r="W137">
            <v>101</v>
          </cell>
          <cell r="X137">
            <v>99</v>
          </cell>
          <cell r="Y137">
            <v>99</v>
          </cell>
          <cell r="Z137">
            <v>99</v>
          </cell>
          <cell r="AA137">
            <v>99</v>
          </cell>
          <cell r="AB137">
            <v>99</v>
          </cell>
        </row>
        <row r="138">
          <cell r="C138" t="str">
            <v>Mauritius</v>
          </cell>
          <cell r="D138">
            <v>339</v>
          </cell>
          <cell r="E138">
            <v>278</v>
          </cell>
          <cell r="F138">
            <v>274</v>
          </cell>
          <cell r="G138">
            <v>272</v>
          </cell>
          <cell r="H138">
            <v>260</v>
          </cell>
          <cell r="I138">
            <v>252</v>
          </cell>
          <cell r="J138">
            <v>252</v>
          </cell>
          <cell r="K138">
            <v>253</v>
          </cell>
          <cell r="L138">
            <v>263</v>
          </cell>
          <cell r="M138">
            <v>268</v>
          </cell>
          <cell r="N138">
            <v>260</v>
          </cell>
          <cell r="O138">
            <v>248</v>
          </cell>
          <cell r="P138">
            <v>245</v>
          </cell>
          <cell r="Q138">
            <v>267</v>
          </cell>
          <cell r="R138">
            <v>293</v>
          </cell>
          <cell r="S138">
            <v>270</v>
          </cell>
          <cell r="T138">
            <v>233</v>
          </cell>
          <cell r="U138">
            <v>242</v>
          </cell>
          <cell r="V138">
            <v>245</v>
          </cell>
          <cell r="W138">
            <v>216</v>
          </cell>
          <cell r="X138">
            <v>214</v>
          </cell>
          <cell r="Y138">
            <v>222</v>
          </cell>
          <cell r="Z138">
            <v>225</v>
          </cell>
          <cell r="AA138">
            <v>224</v>
          </cell>
          <cell r="AB138">
            <v>226</v>
          </cell>
        </row>
        <row r="139">
          <cell r="C139" t="str">
            <v>Mayotte</v>
          </cell>
          <cell r="D139">
            <v>93</v>
          </cell>
          <cell r="E139">
            <v>87</v>
          </cell>
          <cell r="F139">
            <v>87</v>
          </cell>
          <cell r="G139">
            <v>83</v>
          </cell>
          <cell r="H139">
            <v>83</v>
          </cell>
          <cell r="I139">
            <v>84</v>
          </cell>
          <cell r="J139">
            <v>87</v>
          </cell>
          <cell r="K139">
            <v>85</v>
          </cell>
          <cell r="L139">
            <v>88</v>
          </cell>
          <cell r="M139">
            <v>83</v>
          </cell>
          <cell r="N139">
            <v>84</v>
          </cell>
          <cell r="O139">
            <v>67</v>
          </cell>
          <cell r="P139">
            <v>81</v>
          </cell>
          <cell r="Q139">
            <v>77</v>
          </cell>
          <cell r="R139">
            <v>88</v>
          </cell>
          <cell r="S139">
            <v>88</v>
          </cell>
          <cell r="T139">
            <v>89</v>
          </cell>
          <cell r="U139">
            <v>88</v>
          </cell>
          <cell r="V139">
            <v>82</v>
          </cell>
          <cell r="W139">
            <v>75</v>
          </cell>
          <cell r="X139">
            <v>76</v>
          </cell>
          <cell r="Y139">
            <v>75</v>
          </cell>
          <cell r="Z139">
            <v>83</v>
          </cell>
          <cell r="AA139">
            <v>84</v>
          </cell>
          <cell r="AB139">
            <v>96</v>
          </cell>
        </row>
        <row r="140">
          <cell r="C140" t="str">
            <v>Mexico</v>
          </cell>
          <cell r="D140">
            <v>12785</v>
          </cell>
          <cell r="E140">
            <v>12610</v>
          </cell>
          <cell r="F140">
            <v>12548</v>
          </cell>
          <cell r="G140">
            <v>12521</v>
          </cell>
          <cell r="H140">
            <v>12552</v>
          </cell>
          <cell r="I140">
            <v>12591</v>
          </cell>
          <cell r="J140">
            <v>12719</v>
          </cell>
          <cell r="K140">
            <v>12741</v>
          </cell>
          <cell r="L140">
            <v>12921</v>
          </cell>
          <cell r="M140">
            <v>13044</v>
          </cell>
          <cell r="N140">
            <v>13068</v>
          </cell>
          <cell r="O140">
            <v>12962</v>
          </cell>
          <cell r="P140">
            <v>13023</v>
          </cell>
          <cell r="Q140">
            <v>13230</v>
          </cell>
          <cell r="R140">
            <v>13050</v>
          </cell>
          <cell r="S140">
            <v>13346</v>
          </cell>
          <cell r="T140">
            <v>12763</v>
          </cell>
          <cell r="U140">
            <v>12735</v>
          </cell>
          <cell r="V140">
            <v>12773</v>
          </cell>
          <cell r="W140">
            <v>12716</v>
          </cell>
          <cell r="X140">
            <v>12732</v>
          </cell>
          <cell r="Y140">
            <v>12840</v>
          </cell>
          <cell r="Z140">
            <v>13028</v>
          </cell>
          <cell r="AA140">
            <v>13229</v>
          </cell>
          <cell r="AB140">
            <v>13275</v>
          </cell>
        </row>
        <row r="141">
          <cell r="C141" t="str">
            <v>Micronesia Federated States of</v>
          </cell>
          <cell r="D141">
            <v>74</v>
          </cell>
          <cell r="E141">
            <v>74</v>
          </cell>
          <cell r="F141">
            <v>74</v>
          </cell>
          <cell r="G141">
            <v>74</v>
          </cell>
          <cell r="H141">
            <v>74</v>
          </cell>
          <cell r="I141">
            <v>74</v>
          </cell>
          <cell r="J141">
            <v>74</v>
          </cell>
          <cell r="K141">
            <v>74</v>
          </cell>
          <cell r="L141">
            <v>74</v>
          </cell>
          <cell r="M141">
            <v>74</v>
          </cell>
          <cell r="N141">
            <v>74</v>
          </cell>
          <cell r="O141">
            <v>64</v>
          </cell>
          <cell r="P141">
            <v>67</v>
          </cell>
          <cell r="Q141">
            <v>67</v>
          </cell>
          <cell r="R141">
            <v>67</v>
          </cell>
          <cell r="S141">
            <v>64</v>
          </cell>
          <cell r="T141">
            <v>64</v>
          </cell>
          <cell r="U141">
            <v>67</v>
          </cell>
          <cell r="V141">
            <v>67</v>
          </cell>
          <cell r="W141">
            <v>61</v>
          </cell>
          <cell r="X141">
            <v>64</v>
          </cell>
          <cell r="Y141">
            <v>67</v>
          </cell>
          <cell r="Z141">
            <v>67</v>
          </cell>
          <cell r="AA141">
            <v>67</v>
          </cell>
          <cell r="AB141">
            <v>67</v>
          </cell>
        </row>
        <row r="142">
          <cell r="C142" t="str">
            <v>Moldova Republic of</v>
          </cell>
          <cell r="D142">
            <v>238</v>
          </cell>
          <cell r="E142">
            <v>224</v>
          </cell>
          <cell r="F142">
            <v>209</v>
          </cell>
          <cell r="G142">
            <v>211</v>
          </cell>
          <cell r="H142">
            <v>215</v>
          </cell>
          <cell r="I142">
            <v>206</v>
          </cell>
          <cell r="J142">
            <v>209</v>
          </cell>
          <cell r="K142">
            <v>211</v>
          </cell>
          <cell r="L142">
            <v>208</v>
          </cell>
          <cell r="M142">
            <v>208</v>
          </cell>
          <cell r="N142">
            <v>212</v>
          </cell>
          <cell r="O142">
            <v>210</v>
          </cell>
          <cell r="P142">
            <v>219</v>
          </cell>
          <cell r="Q142">
            <v>217</v>
          </cell>
          <cell r="R142">
            <v>228</v>
          </cell>
          <cell r="S142">
            <v>240</v>
          </cell>
          <cell r="T142">
            <v>247</v>
          </cell>
          <cell r="U142">
            <v>253</v>
          </cell>
          <cell r="V142">
            <v>246</v>
          </cell>
          <cell r="W142">
            <v>254</v>
          </cell>
          <cell r="X142">
            <v>264</v>
          </cell>
          <cell r="Y142">
            <v>277</v>
          </cell>
          <cell r="Z142">
            <v>277</v>
          </cell>
          <cell r="AA142">
            <v>282</v>
          </cell>
          <cell r="AB142">
            <v>280</v>
          </cell>
        </row>
        <row r="143">
          <cell r="C143" t="str">
            <v>Monaco</v>
          </cell>
          <cell r="D143">
            <v>256</v>
          </cell>
          <cell r="E143">
            <v>264</v>
          </cell>
          <cell r="F143">
            <v>264</v>
          </cell>
          <cell r="G143">
            <v>264</v>
          </cell>
          <cell r="H143">
            <v>278</v>
          </cell>
          <cell r="I143">
            <v>278</v>
          </cell>
          <cell r="J143">
            <v>278</v>
          </cell>
          <cell r="K143">
            <v>284</v>
          </cell>
          <cell r="L143">
            <v>290</v>
          </cell>
          <cell r="M143">
            <v>290</v>
          </cell>
          <cell r="N143">
            <v>290</v>
          </cell>
          <cell r="O143">
            <v>294</v>
          </cell>
          <cell r="P143">
            <v>318</v>
          </cell>
          <cell r="Q143">
            <v>326</v>
          </cell>
          <cell r="R143">
            <v>326</v>
          </cell>
          <cell r="S143">
            <v>326</v>
          </cell>
          <cell r="T143">
            <v>326</v>
          </cell>
          <cell r="U143">
            <v>326</v>
          </cell>
          <cell r="V143">
            <v>326</v>
          </cell>
          <cell r="W143">
            <v>326</v>
          </cell>
          <cell r="X143">
            <v>326</v>
          </cell>
          <cell r="Y143">
            <v>326</v>
          </cell>
          <cell r="Z143">
            <v>326</v>
          </cell>
          <cell r="AA143">
            <v>326</v>
          </cell>
          <cell r="AB143">
            <v>326</v>
          </cell>
        </row>
        <row r="144">
          <cell r="C144" t="str">
            <v>Mongolia</v>
          </cell>
          <cell r="D144">
            <v>155</v>
          </cell>
          <cell r="E144">
            <v>154</v>
          </cell>
          <cell r="F144">
            <v>147</v>
          </cell>
          <cell r="G144">
            <v>137</v>
          </cell>
          <cell r="H144">
            <v>104</v>
          </cell>
          <cell r="I144">
            <v>113</v>
          </cell>
          <cell r="J144">
            <v>126</v>
          </cell>
          <cell r="K144">
            <v>129</v>
          </cell>
          <cell r="L144">
            <v>137</v>
          </cell>
          <cell r="M144">
            <v>126</v>
          </cell>
          <cell r="N144">
            <v>129</v>
          </cell>
          <cell r="O144">
            <v>125</v>
          </cell>
          <cell r="P144">
            <v>117</v>
          </cell>
          <cell r="Q144">
            <v>120</v>
          </cell>
          <cell r="R144">
            <v>110</v>
          </cell>
          <cell r="S144">
            <v>103</v>
          </cell>
          <cell r="T144">
            <v>102</v>
          </cell>
          <cell r="U144">
            <v>83</v>
          </cell>
          <cell r="V144">
            <v>90</v>
          </cell>
          <cell r="W144">
            <v>86</v>
          </cell>
          <cell r="X144">
            <v>101</v>
          </cell>
          <cell r="Y144">
            <v>100</v>
          </cell>
          <cell r="Z144">
            <v>107</v>
          </cell>
          <cell r="AA144">
            <v>134</v>
          </cell>
          <cell r="AB144">
            <v>135</v>
          </cell>
        </row>
        <row r="145">
          <cell r="C145" t="str">
            <v>Montenegro</v>
          </cell>
          <cell r="D145">
            <v>132</v>
          </cell>
          <cell r="E145">
            <v>122</v>
          </cell>
          <cell r="F145">
            <v>121</v>
          </cell>
          <cell r="G145">
            <v>121</v>
          </cell>
          <cell r="H145">
            <v>119</v>
          </cell>
          <cell r="I145">
            <v>120</v>
          </cell>
          <cell r="J145">
            <v>121</v>
          </cell>
          <cell r="K145">
            <v>121</v>
          </cell>
          <cell r="L145">
            <v>121</v>
          </cell>
          <cell r="M145">
            <v>121</v>
          </cell>
          <cell r="N145">
            <v>121</v>
          </cell>
          <cell r="O145">
            <v>128</v>
          </cell>
          <cell r="P145">
            <v>161</v>
          </cell>
          <cell r="Q145">
            <v>164</v>
          </cell>
          <cell r="R145">
            <v>179</v>
          </cell>
          <cell r="S145">
            <v>189</v>
          </cell>
          <cell r="T145">
            <v>208</v>
          </cell>
          <cell r="U145">
            <v>216</v>
          </cell>
          <cell r="V145">
            <v>215</v>
          </cell>
          <cell r="W145">
            <v>227</v>
          </cell>
          <cell r="X145">
            <v>248</v>
          </cell>
          <cell r="Y145">
            <v>277</v>
          </cell>
          <cell r="Z145">
            <v>293</v>
          </cell>
          <cell r="AA145">
            <v>304</v>
          </cell>
          <cell r="AB145">
            <v>309</v>
          </cell>
        </row>
        <row r="146">
          <cell r="C146" t="str">
            <v>Montserrat, Leeward Islands</v>
          </cell>
          <cell r="D146">
            <v>21</v>
          </cell>
          <cell r="E146">
            <v>21</v>
          </cell>
          <cell r="F146">
            <v>21</v>
          </cell>
          <cell r="G146">
            <v>21</v>
          </cell>
          <cell r="H146">
            <v>21</v>
          </cell>
          <cell r="I146">
            <v>21</v>
          </cell>
          <cell r="J146">
            <v>21</v>
          </cell>
          <cell r="K146">
            <v>21</v>
          </cell>
          <cell r="L146">
            <v>24</v>
          </cell>
          <cell r="M146">
            <v>21</v>
          </cell>
          <cell r="N146">
            <v>24</v>
          </cell>
          <cell r="O146">
            <v>21</v>
          </cell>
          <cell r="P146">
            <v>21</v>
          </cell>
          <cell r="Q146">
            <v>21</v>
          </cell>
          <cell r="R146">
            <v>21</v>
          </cell>
          <cell r="S146">
            <v>21</v>
          </cell>
          <cell r="T146">
            <v>21</v>
          </cell>
          <cell r="U146">
            <v>21</v>
          </cell>
          <cell r="V146">
            <v>21</v>
          </cell>
          <cell r="W146">
            <v>21</v>
          </cell>
          <cell r="X146">
            <v>21</v>
          </cell>
          <cell r="Y146">
            <v>21</v>
          </cell>
          <cell r="Z146">
            <v>21</v>
          </cell>
          <cell r="AA146">
            <v>21</v>
          </cell>
          <cell r="AB146">
            <v>21</v>
          </cell>
        </row>
        <row r="147">
          <cell r="C147" t="str">
            <v>Morocco</v>
          </cell>
          <cell r="D147">
            <v>1997</v>
          </cell>
          <cell r="E147">
            <v>1930</v>
          </cell>
          <cell r="F147">
            <v>1876</v>
          </cell>
          <cell r="G147">
            <v>1884</v>
          </cell>
          <cell r="H147">
            <v>1868</v>
          </cell>
          <cell r="I147">
            <v>1889</v>
          </cell>
          <cell r="J147">
            <v>1911</v>
          </cell>
          <cell r="K147">
            <v>1938</v>
          </cell>
          <cell r="L147">
            <v>1948</v>
          </cell>
          <cell r="M147">
            <v>1924</v>
          </cell>
          <cell r="N147">
            <v>1912</v>
          </cell>
          <cell r="O147">
            <v>1948</v>
          </cell>
          <cell r="P147">
            <v>2051</v>
          </cell>
          <cell r="Q147">
            <v>2103</v>
          </cell>
          <cell r="R147">
            <v>2153</v>
          </cell>
          <cell r="S147">
            <v>2147</v>
          </cell>
          <cell r="T147">
            <v>2177</v>
          </cell>
          <cell r="U147">
            <v>1698</v>
          </cell>
          <cell r="V147">
            <v>1635</v>
          </cell>
          <cell r="W147">
            <v>1644</v>
          </cell>
          <cell r="X147">
            <v>1709</v>
          </cell>
          <cell r="Y147">
            <v>1952</v>
          </cell>
          <cell r="Z147">
            <v>2112</v>
          </cell>
          <cell r="AA147">
            <v>2129</v>
          </cell>
          <cell r="AB147">
            <v>2187</v>
          </cell>
        </row>
        <row r="148">
          <cell r="C148" t="str">
            <v>Mozambique</v>
          </cell>
          <cell r="D148">
            <v>556</v>
          </cell>
          <cell r="E148">
            <v>516</v>
          </cell>
          <cell r="F148">
            <v>519</v>
          </cell>
          <cell r="G148">
            <v>532</v>
          </cell>
          <cell r="H148">
            <v>567</v>
          </cell>
          <cell r="I148">
            <v>549</v>
          </cell>
          <cell r="J148">
            <v>554</v>
          </cell>
          <cell r="K148">
            <v>569</v>
          </cell>
          <cell r="L148">
            <v>574</v>
          </cell>
          <cell r="M148">
            <v>575</v>
          </cell>
          <cell r="N148">
            <v>593</v>
          </cell>
          <cell r="O148">
            <v>608</v>
          </cell>
          <cell r="P148">
            <v>611</v>
          </cell>
          <cell r="Q148">
            <v>615</v>
          </cell>
          <cell r="R148">
            <v>629</v>
          </cell>
          <cell r="S148">
            <v>636</v>
          </cell>
          <cell r="T148">
            <v>636</v>
          </cell>
          <cell r="U148">
            <v>641</v>
          </cell>
          <cell r="V148">
            <v>632</v>
          </cell>
          <cell r="W148">
            <v>611</v>
          </cell>
          <cell r="X148">
            <v>635</v>
          </cell>
          <cell r="Y148">
            <v>611</v>
          </cell>
          <cell r="Z148">
            <v>597</v>
          </cell>
          <cell r="AA148">
            <v>598</v>
          </cell>
          <cell r="AB148">
            <v>594</v>
          </cell>
        </row>
        <row r="149">
          <cell r="C149" t="str">
            <v>Myanmar</v>
          </cell>
          <cell r="D149">
            <v>2714</v>
          </cell>
          <cell r="E149">
            <v>2728</v>
          </cell>
          <cell r="F149">
            <v>2737</v>
          </cell>
          <cell r="G149">
            <v>2767</v>
          </cell>
          <cell r="H149">
            <v>2744</v>
          </cell>
          <cell r="I149">
            <v>2768</v>
          </cell>
          <cell r="J149">
            <v>2752</v>
          </cell>
          <cell r="K149">
            <v>2821</v>
          </cell>
          <cell r="L149">
            <v>2769</v>
          </cell>
          <cell r="M149">
            <v>2808</v>
          </cell>
          <cell r="N149">
            <v>2844</v>
          </cell>
          <cell r="O149">
            <v>2801</v>
          </cell>
          <cell r="P149">
            <v>2388</v>
          </cell>
          <cell r="Q149">
            <v>2390</v>
          </cell>
          <cell r="R149">
            <v>2357</v>
          </cell>
          <cell r="S149">
            <v>2337</v>
          </cell>
          <cell r="T149">
            <v>1985</v>
          </cell>
          <cell r="U149">
            <v>1859</v>
          </cell>
          <cell r="V149">
            <v>1863</v>
          </cell>
          <cell r="W149">
            <v>1957</v>
          </cell>
          <cell r="X149">
            <v>1980</v>
          </cell>
          <cell r="Y149">
            <v>1852</v>
          </cell>
          <cell r="Z149">
            <v>1829</v>
          </cell>
          <cell r="AA149">
            <v>1828</v>
          </cell>
          <cell r="AB149">
            <v>1814</v>
          </cell>
        </row>
        <row r="150">
          <cell r="C150" t="str">
            <v>Namibia</v>
          </cell>
          <cell r="D150">
            <v>399</v>
          </cell>
          <cell r="E150">
            <v>403</v>
          </cell>
          <cell r="F150">
            <v>402</v>
          </cell>
          <cell r="G150">
            <v>404</v>
          </cell>
          <cell r="H150">
            <v>404</v>
          </cell>
          <cell r="I150">
            <v>404</v>
          </cell>
          <cell r="J150">
            <v>399</v>
          </cell>
          <cell r="K150">
            <v>402</v>
          </cell>
          <cell r="L150">
            <v>395</v>
          </cell>
          <cell r="M150">
            <v>401</v>
          </cell>
          <cell r="N150">
            <v>402</v>
          </cell>
          <cell r="O150">
            <v>397</v>
          </cell>
          <cell r="P150">
            <v>379</v>
          </cell>
          <cell r="Q150">
            <v>376</v>
          </cell>
          <cell r="R150">
            <v>376</v>
          </cell>
          <cell r="S150">
            <v>378</v>
          </cell>
          <cell r="T150">
            <v>367</v>
          </cell>
          <cell r="U150">
            <v>366</v>
          </cell>
          <cell r="V150">
            <v>366</v>
          </cell>
          <cell r="W150">
            <v>364</v>
          </cell>
          <cell r="X150">
            <v>368</v>
          </cell>
          <cell r="Y150">
            <v>338</v>
          </cell>
          <cell r="Z150">
            <v>315</v>
          </cell>
          <cell r="AA150">
            <v>318</v>
          </cell>
          <cell r="AB150">
            <v>322</v>
          </cell>
        </row>
        <row r="151">
          <cell r="C151" t="str">
            <v>Nauru</v>
          </cell>
          <cell r="D151">
            <v>12</v>
          </cell>
          <cell r="E151">
            <v>13</v>
          </cell>
          <cell r="F151">
            <v>13</v>
          </cell>
          <cell r="G151">
            <v>13</v>
          </cell>
          <cell r="H151">
            <v>13</v>
          </cell>
          <cell r="I151">
            <v>13</v>
          </cell>
          <cell r="J151">
            <v>13</v>
          </cell>
          <cell r="K151">
            <v>13</v>
          </cell>
          <cell r="L151">
            <v>13</v>
          </cell>
          <cell r="M151">
            <v>13</v>
          </cell>
          <cell r="N151">
            <v>13</v>
          </cell>
          <cell r="O151">
            <v>13</v>
          </cell>
          <cell r="P151">
            <v>13</v>
          </cell>
          <cell r="Q151">
            <v>10</v>
          </cell>
          <cell r="R151">
            <v>10</v>
          </cell>
          <cell r="S151">
            <v>10</v>
          </cell>
          <cell r="T151">
            <v>11</v>
          </cell>
          <cell r="U151">
            <v>11</v>
          </cell>
          <cell r="V151">
            <v>9</v>
          </cell>
          <cell r="W151">
            <v>10</v>
          </cell>
          <cell r="X151">
            <v>8</v>
          </cell>
          <cell r="Y151">
            <v>6</v>
          </cell>
          <cell r="Z151">
            <v>10</v>
          </cell>
          <cell r="AA151">
            <v>11</v>
          </cell>
          <cell r="AB151">
            <v>11</v>
          </cell>
        </row>
        <row r="152">
          <cell r="C152" t="str">
            <v>Nepal</v>
          </cell>
          <cell r="D152">
            <v>864</v>
          </cell>
          <cell r="E152">
            <v>1485</v>
          </cell>
          <cell r="F152">
            <v>1481</v>
          </cell>
          <cell r="G152">
            <v>1468</v>
          </cell>
          <cell r="H152">
            <v>1453</v>
          </cell>
          <cell r="I152">
            <v>1414</v>
          </cell>
          <cell r="J152">
            <v>1372</v>
          </cell>
          <cell r="K152">
            <v>1544</v>
          </cell>
          <cell r="L152">
            <v>1475</v>
          </cell>
          <cell r="M152">
            <v>1553</v>
          </cell>
          <cell r="N152">
            <v>1612</v>
          </cell>
          <cell r="O152">
            <v>1608</v>
          </cell>
          <cell r="P152">
            <v>1449</v>
          </cell>
          <cell r="Q152">
            <v>1606</v>
          </cell>
          <cell r="R152">
            <v>1546</v>
          </cell>
          <cell r="S152">
            <v>1538</v>
          </cell>
          <cell r="T152">
            <v>1526</v>
          </cell>
          <cell r="U152">
            <v>1604</v>
          </cell>
          <cell r="V152">
            <v>1612</v>
          </cell>
          <cell r="W152">
            <v>1617</v>
          </cell>
          <cell r="X152">
            <v>1553</v>
          </cell>
          <cell r="Y152">
            <v>1479</v>
          </cell>
          <cell r="Z152">
            <v>1524</v>
          </cell>
          <cell r="AA152">
            <v>1556</v>
          </cell>
          <cell r="AB152">
            <v>1504</v>
          </cell>
        </row>
        <row r="153">
          <cell r="C153" t="str">
            <v>Netherlands</v>
          </cell>
          <cell r="D153">
            <v>4663</v>
          </cell>
          <cell r="E153">
            <v>4566</v>
          </cell>
          <cell r="F153">
            <v>4579</v>
          </cell>
          <cell r="G153">
            <v>4608</v>
          </cell>
          <cell r="H153">
            <v>4638</v>
          </cell>
          <cell r="I153">
            <v>4805</v>
          </cell>
          <cell r="J153">
            <v>4938</v>
          </cell>
          <cell r="K153">
            <v>4993</v>
          </cell>
          <cell r="L153">
            <v>5012</v>
          </cell>
          <cell r="M153">
            <v>5005</v>
          </cell>
          <cell r="N153">
            <v>5004</v>
          </cell>
          <cell r="O153">
            <v>5026</v>
          </cell>
          <cell r="P153">
            <v>5304</v>
          </cell>
          <cell r="Q153">
            <v>5317</v>
          </cell>
          <cell r="R153">
            <v>5419</v>
          </cell>
          <cell r="S153">
            <v>5510</v>
          </cell>
          <cell r="T153">
            <v>5567</v>
          </cell>
          <cell r="U153">
            <v>5592</v>
          </cell>
          <cell r="V153">
            <v>5584</v>
          </cell>
          <cell r="W153">
            <v>5604</v>
          </cell>
          <cell r="X153">
            <v>5585</v>
          </cell>
          <cell r="Y153">
            <v>5658</v>
          </cell>
          <cell r="Z153">
            <v>5670</v>
          </cell>
          <cell r="AA153">
            <v>5664</v>
          </cell>
          <cell r="AB153">
            <v>5622</v>
          </cell>
        </row>
        <row r="154">
          <cell r="C154" t="str">
            <v>New Caledonia</v>
          </cell>
          <cell r="D154">
            <v>302</v>
          </cell>
          <cell r="E154">
            <v>300</v>
          </cell>
          <cell r="F154">
            <v>299</v>
          </cell>
          <cell r="G154">
            <v>300</v>
          </cell>
          <cell r="H154">
            <v>297</v>
          </cell>
          <cell r="I154">
            <v>295</v>
          </cell>
          <cell r="J154">
            <v>292</v>
          </cell>
          <cell r="K154">
            <v>291</v>
          </cell>
          <cell r="L154">
            <v>293</v>
          </cell>
          <cell r="M154">
            <v>291</v>
          </cell>
          <cell r="N154">
            <v>294</v>
          </cell>
          <cell r="O154">
            <v>292</v>
          </cell>
          <cell r="P154">
            <v>227</v>
          </cell>
          <cell r="Q154">
            <v>230</v>
          </cell>
          <cell r="R154">
            <v>228</v>
          </cell>
          <cell r="S154">
            <v>231</v>
          </cell>
          <cell r="T154">
            <v>227</v>
          </cell>
          <cell r="U154">
            <v>226</v>
          </cell>
          <cell r="V154">
            <v>223</v>
          </cell>
          <cell r="W154">
            <v>305</v>
          </cell>
          <cell r="X154">
            <v>318</v>
          </cell>
          <cell r="Y154">
            <v>319</v>
          </cell>
          <cell r="Z154">
            <v>320</v>
          </cell>
          <cell r="AA154">
            <v>320</v>
          </cell>
          <cell r="AB154">
            <v>320</v>
          </cell>
        </row>
        <row r="155">
          <cell r="C155" t="str">
            <v>New Zealand</v>
          </cell>
          <cell r="D155">
            <v>4501</v>
          </cell>
          <cell r="E155">
            <v>4514</v>
          </cell>
          <cell r="F155">
            <v>4657</v>
          </cell>
          <cell r="G155">
            <v>4755</v>
          </cell>
          <cell r="H155">
            <v>4933</v>
          </cell>
          <cell r="I155">
            <v>5071</v>
          </cell>
          <cell r="J155">
            <v>5052</v>
          </cell>
          <cell r="K155">
            <v>5093</v>
          </cell>
          <cell r="L155">
            <v>4980</v>
          </cell>
          <cell r="M155">
            <v>4948</v>
          </cell>
          <cell r="N155">
            <v>4945</v>
          </cell>
          <cell r="O155">
            <v>4934</v>
          </cell>
          <cell r="P155">
            <v>4792</v>
          </cell>
          <cell r="Q155">
            <v>4868</v>
          </cell>
          <cell r="R155">
            <v>4855</v>
          </cell>
          <cell r="S155">
            <v>4910</v>
          </cell>
          <cell r="T155">
            <v>4595</v>
          </cell>
          <cell r="U155">
            <v>4508</v>
          </cell>
          <cell r="V155">
            <v>4505</v>
          </cell>
          <cell r="W155">
            <v>4485</v>
          </cell>
          <cell r="X155">
            <v>4474</v>
          </cell>
          <cell r="Y155">
            <v>4531</v>
          </cell>
          <cell r="Z155">
            <v>4489</v>
          </cell>
          <cell r="AA155">
            <v>4520</v>
          </cell>
          <cell r="AB155">
            <v>4575</v>
          </cell>
        </row>
        <row r="156">
          <cell r="C156" t="str">
            <v>Nicaragua</v>
          </cell>
          <cell r="D156">
            <v>260</v>
          </cell>
          <cell r="E156">
            <v>260</v>
          </cell>
          <cell r="F156">
            <v>260</v>
          </cell>
          <cell r="G156">
            <v>262</v>
          </cell>
          <cell r="H156">
            <v>270</v>
          </cell>
          <cell r="I156">
            <v>270</v>
          </cell>
          <cell r="J156">
            <v>272</v>
          </cell>
          <cell r="K156">
            <v>268</v>
          </cell>
          <cell r="L156">
            <v>269</v>
          </cell>
          <cell r="M156">
            <v>270</v>
          </cell>
          <cell r="N156">
            <v>267</v>
          </cell>
          <cell r="O156">
            <v>266</v>
          </cell>
          <cell r="P156">
            <v>273</v>
          </cell>
          <cell r="Q156">
            <v>270</v>
          </cell>
          <cell r="R156">
            <v>269</v>
          </cell>
          <cell r="S156">
            <v>270</v>
          </cell>
          <cell r="T156">
            <v>273</v>
          </cell>
          <cell r="U156">
            <v>275</v>
          </cell>
          <cell r="V156">
            <v>273</v>
          </cell>
          <cell r="W156">
            <v>274</v>
          </cell>
          <cell r="X156">
            <v>273</v>
          </cell>
          <cell r="Y156">
            <v>274</v>
          </cell>
          <cell r="Z156">
            <v>273</v>
          </cell>
          <cell r="AA156">
            <v>275</v>
          </cell>
          <cell r="AB156">
            <v>291</v>
          </cell>
        </row>
        <row r="157">
          <cell r="C157" t="str">
            <v>Niger</v>
          </cell>
          <cell r="D157">
            <v>81</v>
          </cell>
          <cell r="E157">
            <v>84</v>
          </cell>
          <cell r="F157">
            <v>80</v>
          </cell>
          <cell r="G157">
            <v>80</v>
          </cell>
          <cell r="H157">
            <v>77</v>
          </cell>
          <cell r="I157">
            <v>81</v>
          </cell>
          <cell r="J157">
            <v>79</v>
          </cell>
          <cell r="K157">
            <v>79</v>
          </cell>
          <cell r="L157">
            <v>84</v>
          </cell>
          <cell r="M157">
            <v>86</v>
          </cell>
          <cell r="N157">
            <v>85</v>
          </cell>
          <cell r="O157">
            <v>79</v>
          </cell>
          <cell r="P157">
            <v>86</v>
          </cell>
          <cell r="Q157">
            <v>90</v>
          </cell>
          <cell r="R157">
            <v>96</v>
          </cell>
          <cell r="S157">
            <v>92</v>
          </cell>
          <cell r="T157">
            <v>96</v>
          </cell>
          <cell r="U157">
            <v>92</v>
          </cell>
          <cell r="V157">
            <v>96</v>
          </cell>
          <cell r="W157">
            <v>91</v>
          </cell>
          <cell r="X157">
            <v>91</v>
          </cell>
          <cell r="Y157">
            <v>91</v>
          </cell>
          <cell r="Z157">
            <v>91</v>
          </cell>
          <cell r="AA157">
            <v>91</v>
          </cell>
          <cell r="AB157">
            <v>93</v>
          </cell>
        </row>
        <row r="158">
          <cell r="C158" t="str">
            <v>Nigeria</v>
          </cell>
          <cell r="D158">
            <v>1586</v>
          </cell>
          <cell r="E158">
            <v>1570</v>
          </cell>
          <cell r="F158">
            <v>1577</v>
          </cell>
          <cell r="G158">
            <v>1570</v>
          </cell>
          <cell r="H158">
            <v>1573</v>
          </cell>
          <cell r="I158">
            <v>1431</v>
          </cell>
          <cell r="J158">
            <v>1483</v>
          </cell>
          <cell r="K158">
            <v>1477</v>
          </cell>
          <cell r="L158">
            <v>1408</v>
          </cell>
          <cell r="M158">
            <v>1402</v>
          </cell>
          <cell r="N158">
            <v>1396</v>
          </cell>
          <cell r="O158">
            <v>1289</v>
          </cell>
          <cell r="P158">
            <v>1358</v>
          </cell>
          <cell r="Q158">
            <v>1353</v>
          </cell>
          <cell r="R158">
            <v>1315</v>
          </cell>
          <cell r="S158">
            <v>1316</v>
          </cell>
          <cell r="T158">
            <v>1270</v>
          </cell>
          <cell r="U158">
            <v>1169</v>
          </cell>
          <cell r="V158">
            <v>1105</v>
          </cell>
          <cell r="W158">
            <v>1143</v>
          </cell>
          <cell r="X158">
            <v>1115</v>
          </cell>
          <cell r="Y158">
            <v>1123</v>
          </cell>
          <cell r="Z158">
            <v>1125</v>
          </cell>
          <cell r="AA158">
            <v>1313</v>
          </cell>
          <cell r="AB158">
            <v>1501</v>
          </cell>
        </row>
        <row r="159">
          <cell r="C159" t="str">
            <v>Niue</v>
          </cell>
          <cell r="D159">
            <v>2</v>
          </cell>
          <cell r="E159">
            <v>2</v>
          </cell>
          <cell r="F159">
            <v>2</v>
          </cell>
          <cell r="G159">
            <v>2</v>
          </cell>
          <cell r="H159">
            <v>2</v>
          </cell>
          <cell r="I159">
            <v>2</v>
          </cell>
          <cell r="J159">
            <v>2</v>
          </cell>
          <cell r="K159">
            <v>2</v>
          </cell>
          <cell r="L159">
            <v>2</v>
          </cell>
          <cell r="M159">
            <v>2</v>
          </cell>
          <cell r="N159">
            <v>2</v>
          </cell>
          <cell r="O159">
            <v>2</v>
          </cell>
          <cell r="P159">
            <v>2</v>
          </cell>
          <cell r="Q159">
            <v>2</v>
          </cell>
          <cell r="R159">
            <v>2</v>
          </cell>
          <cell r="S159">
            <v>2</v>
          </cell>
          <cell r="T159">
            <v>2</v>
          </cell>
          <cell r="U159">
            <v>2</v>
          </cell>
          <cell r="V159">
            <v>2</v>
          </cell>
          <cell r="W159">
            <v>2</v>
          </cell>
          <cell r="X159">
            <v>2</v>
          </cell>
          <cell r="Y159">
            <v>2</v>
          </cell>
          <cell r="Z159">
            <v>2</v>
          </cell>
          <cell r="AA159">
            <v>2</v>
          </cell>
          <cell r="AB159">
            <v>2</v>
          </cell>
        </row>
        <row r="160">
          <cell r="C160" t="str">
            <v>Norfolk Island</v>
          </cell>
          <cell r="D160">
            <v>5</v>
          </cell>
          <cell r="E160">
            <v>5</v>
          </cell>
          <cell r="F160">
            <v>5</v>
          </cell>
          <cell r="G160">
            <v>5</v>
          </cell>
          <cell r="H160">
            <v>5</v>
          </cell>
          <cell r="I160">
            <v>5</v>
          </cell>
          <cell r="J160">
            <v>5</v>
          </cell>
          <cell r="K160">
            <v>5</v>
          </cell>
          <cell r="L160">
            <v>5</v>
          </cell>
          <cell r="M160">
            <v>5</v>
          </cell>
          <cell r="N160">
            <v>5</v>
          </cell>
          <cell r="O160">
            <v>5</v>
          </cell>
          <cell r="P160">
            <v>5</v>
          </cell>
          <cell r="Q160">
            <v>5</v>
          </cell>
          <cell r="R160">
            <v>5</v>
          </cell>
          <cell r="S160">
            <v>5</v>
          </cell>
          <cell r="T160">
            <v>4</v>
          </cell>
          <cell r="U160">
            <v>4</v>
          </cell>
          <cell r="V160">
            <v>5</v>
          </cell>
          <cell r="W160">
            <v>5</v>
          </cell>
          <cell r="X160">
            <v>4</v>
          </cell>
          <cell r="Y160">
            <v>4</v>
          </cell>
          <cell r="Z160">
            <v>4</v>
          </cell>
          <cell r="AA160">
            <v>4</v>
          </cell>
          <cell r="AB160">
            <v>4</v>
          </cell>
        </row>
        <row r="161">
          <cell r="C161" t="str">
            <v>Northern Mariana Islands</v>
          </cell>
          <cell r="D161">
            <v>53</v>
          </cell>
          <cell r="E161">
            <v>53</v>
          </cell>
          <cell r="F161">
            <v>59</v>
          </cell>
          <cell r="G161">
            <v>60</v>
          </cell>
          <cell r="H161">
            <v>60</v>
          </cell>
          <cell r="I161">
            <v>60</v>
          </cell>
          <cell r="J161">
            <v>60</v>
          </cell>
          <cell r="K161">
            <v>60</v>
          </cell>
          <cell r="L161">
            <v>56</v>
          </cell>
          <cell r="M161">
            <v>57</v>
          </cell>
          <cell r="N161">
            <v>56</v>
          </cell>
          <cell r="O161">
            <v>57</v>
          </cell>
          <cell r="P161">
            <v>61</v>
          </cell>
          <cell r="Q161">
            <v>63</v>
          </cell>
          <cell r="R161">
            <v>63</v>
          </cell>
          <cell r="S161">
            <v>63</v>
          </cell>
          <cell r="T161">
            <v>63</v>
          </cell>
          <cell r="U161">
            <v>62</v>
          </cell>
          <cell r="V161">
            <v>63</v>
          </cell>
          <cell r="W161">
            <v>63</v>
          </cell>
          <cell r="X161">
            <v>63</v>
          </cell>
          <cell r="Y161">
            <v>67</v>
          </cell>
          <cell r="Z161">
            <v>67</v>
          </cell>
          <cell r="AA161">
            <v>67</v>
          </cell>
          <cell r="AB161">
            <v>67</v>
          </cell>
        </row>
        <row r="162">
          <cell r="C162" t="str">
            <v>Norway</v>
          </cell>
          <cell r="D162">
            <v>7088</v>
          </cell>
          <cell r="E162">
            <v>7163</v>
          </cell>
          <cell r="F162">
            <v>7236</v>
          </cell>
          <cell r="G162">
            <v>7270</v>
          </cell>
          <cell r="H162">
            <v>7426</v>
          </cell>
          <cell r="I162">
            <v>7589</v>
          </cell>
          <cell r="J162">
            <v>7427</v>
          </cell>
          <cell r="K162">
            <v>7458</v>
          </cell>
          <cell r="L162">
            <v>7696</v>
          </cell>
          <cell r="M162">
            <v>7730</v>
          </cell>
          <cell r="N162">
            <v>7732</v>
          </cell>
          <cell r="O162">
            <v>7667</v>
          </cell>
          <cell r="P162">
            <v>7900</v>
          </cell>
          <cell r="Q162">
            <v>7839</v>
          </cell>
          <cell r="R162">
            <v>5184</v>
          </cell>
          <cell r="S162">
            <v>7632</v>
          </cell>
          <cell r="T162">
            <v>7342</v>
          </cell>
          <cell r="U162">
            <v>8024</v>
          </cell>
          <cell r="V162">
            <v>7398</v>
          </cell>
          <cell r="W162">
            <v>8029</v>
          </cell>
          <cell r="X162">
            <v>7198</v>
          </cell>
          <cell r="Y162">
            <v>7819</v>
          </cell>
          <cell r="Z162">
            <v>7712</v>
          </cell>
          <cell r="AA162">
            <v>7750</v>
          </cell>
          <cell r="AB162">
            <v>7195</v>
          </cell>
        </row>
        <row r="163">
          <cell r="C163" t="str">
            <v>Oman</v>
          </cell>
          <cell r="D163">
            <v>1303</v>
          </cell>
          <cell r="E163">
            <v>1313</v>
          </cell>
          <cell r="F163">
            <v>1313</v>
          </cell>
          <cell r="G163">
            <v>1314</v>
          </cell>
          <cell r="H163">
            <v>1308</v>
          </cell>
          <cell r="I163">
            <v>1305</v>
          </cell>
          <cell r="J163">
            <v>1304</v>
          </cell>
          <cell r="K163">
            <v>1307</v>
          </cell>
          <cell r="L163">
            <v>1305</v>
          </cell>
          <cell r="M163">
            <v>1303</v>
          </cell>
          <cell r="N163">
            <v>1304</v>
          </cell>
          <cell r="O163">
            <v>1263</v>
          </cell>
          <cell r="P163">
            <v>1315</v>
          </cell>
          <cell r="Q163">
            <v>1338</v>
          </cell>
          <cell r="R163">
            <v>1337</v>
          </cell>
          <cell r="S163">
            <v>1317</v>
          </cell>
          <cell r="T163">
            <v>1210</v>
          </cell>
          <cell r="U163">
            <v>1179</v>
          </cell>
          <cell r="V163">
            <v>1184</v>
          </cell>
          <cell r="W163">
            <v>1194</v>
          </cell>
          <cell r="X163">
            <v>1284</v>
          </cell>
          <cell r="Y163">
            <v>1321</v>
          </cell>
          <cell r="Z163">
            <v>1333</v>
          </cell>
          <cell r="AA163">
            <v>1399</v>
          </cell>
          <cell r="AB163">
            <v>1335</v>
          </cell>
        </row>
        <row r="164">
          <cell r="C164" t="str">
            <v>Pakistan</v>
          </cell>
          <cell r="D164">
            <v>1382</v>
          </cell>
          <cell r="E164">
            <v>1394</v>
          </cell>
          <cell r="F164">
            <v>1372</v>
          </cell>
          <cell r="G164">
            <v>1373</v>
          </cell>
          <cell r="H164">
            <v>1375</v>
          </cell>
          <cell r="I164">
            <v>1391</v>
          </cell>
          <cell r="J164">
            <v>1384</v>
          </cell>
          <cell r="K164">
            <v>1400</v>
          </cell>
          <cell r="L164">
            <v>1394</v>
          </cell>
          <cell r="M164">
            <v>1388</v>
          </cell>
          <cell r="N164">
            <v>1344</v>
          </cell>
          <cell r="O164">
            <v>1315</v>
          </cell>
          <cell r="P164">
            <v>1422</v>
          </cell>
          <cell r="Q164">
            <v>1432</v>
          </cell>
          <cell r="R164">
            <v>1312</v>
          </cell>
          <cell r="S164">
            <v>1323</v>
          </cell>
          <cell r="T164">
            <v>1292</v>
          </cell>
          <cell r="U164">
            <v>1212</v>
          </cell>
          <cell r="V164">
            <v>1208</v>
          </cell>
          <cell r="W164">
            <v>1155</v>
          </cell>
          <cell r="X164">
            <v>1217</v>
          </cell>
          <cell r="Y164">
            <v>1264</v>
          </cell>
          <cell r="Z164">
            <v>1360</v>
          </cell>
          <cell r="AA164">
            <v>1337</v>
          </cell>
          <cell r="AB164">
            <v>1318</v>
          </cell>
        </row>
        <row r="165">
          <cell r="C165" t="str">
            <v>Palau</v>
          </cell>
          <cell r="D165">
            <v>19</v>
          </cell>
          <cell r="E165">
            <v>18</v>
          </cell>
          <cell r="F165">
            <v>18</v>
          </cell>
          <cell r="G165">
            <v>19</v>
          </cell>
          <cell r="H165">
            <v>22</v>
          </cell>
          <cell r="I165">
            <v>20</v>
          </cell>
          <cell r="J165">
            <v>22</v>
          </cell>
          <cell r="K165">
            <v>18</v>
          </cell>
          <cell r="L165">
            <v>17</v>
          </cell>
          <cell r="M165">
            <v>17</v>
          </cell>
          <cell r="N165">
            <v>19</v>
          </cell>
          <cell r="O165">
            <v>17</v>
          </cell>
          <cell r="P165">
            <v>17</v>
          </cell>
          <cell r="Q165">
            <v>16</v>
          </cell>
          <cell r="R165">
            <v>17</v>
          </cell>
          <cell r="S165">
            <v>16</v>
          </cell>
          <cell r="T165">
            <v>19</v>
          </cell>
          <cell r="U165">
            <v>16</v>
          </cell>
          <cell r="V165">
            <v>17</v>
          </cell>
          <cell r="W165">
            <v>16</v>
          </cell>
          <cell r="X165">
            <v>17</v>
          </cell>
          <cell r="Y165">
            <v>15</v>
          </cell>
          <cell r="Z165">
            <v>15</v>
          </cell>
          <cell r="AA165">
            <v>14</v>
          </cell>
          <cell r="AB165">
            <v>16</v>
          </cell>
        </row>
        <row r="166">
          <cell r="C166" t="str">
            <v>Panama</v>
          </cell>
          <cell r="D166">
            <v>1682</v>
          </cell>
          <cell r="E166">
            <v>1672</v>
          </cell>
          <cell r="F166">
            <v>1664</v>
          </cell>
          <cell r="G166">
            <v>1640</v>
          </cell>
          <cell r="H166">
            <v>1600</v>
          </cell>
          <cell r="I166">
            <v>1562</v>
          </cell>
          <cell r="J166">
            <v>1583</v>
          </cell>
          <cell r="K166">
            <v>1585</v>
          </cell>
          <cell r="L166">
            <v>1581</v>
          </cell>
          <cell r="M166">
            <v>1570</v>
          </cell>
          <cell r="N166">
            <v>1569</v>
          </cell>
          <cell r="O166">
            <v>1569</v>
          </cell>
          <cell r="P166">
            <v>1535</v>
          </cell>
          <cell r="Q166">
            <v>1545</v>
          </cell>
          <cell r="R166">
            <v>1551</v>
          </cell>
          <cell r="S166">
            <v>1537</v>
          </cell>
          <cell r="T166">
            <v>1547</v>
          </cell>
          <cell r="U166">
            <v>1551</v>
          </cell>
          <cell r="V166">
            <v>1546</v>
          </cell>
          <cell r="W166">
            <v>1503</v>
          </cell>
          <cell r="X166">
            <v>1509</v>
          </cell>
          <cell r="Y166">
            <v>1511</v>
          </cell>
          <cell r="Z166">
            <v>1514</v>
          </cell>
          <cell r="AA166">
            <v>1542</v>
          </cell>
          <cell r="AB166">
            <v>1533</v>
          </cell>
        </row>
        <row r="167">
          <cell r="C167" t="str">
            <v>Papua New Guinea</v>
          </cell>
          <cell r="D167">
            <v>1056</v>
          </cell>
          <cell r="E167">
            <v>1061</v>
          </cell>
          <cell r="F167">
            <v>1061</v>
          </cell>
          <cell r="G167">
            <v>1069</v>
          </cell>
          <cell r="H167">
            <v>1071</v>
          </cell>
          <cell r="I167">
            <v>1075</v>
          </cell>
          <cell r="J167">
            <v>1076</v>
          </cell>
          <cell r="K167">
            <v>1061</v>
          </cell>
          <cell r="L167">
            <v>1068</v>
          </cell>
          <cell r="M167">
            <v>1072</v>
          </cell>
          <cell r="N167">
            <v>1068</v>
          </cell>
          <cell r="O167">
            <v>1065</v>
          </cell>
          <cell r="P167">
            <v>1071</v>
          </cell>
          <cell r="Q167">
            <v>1078</v>
          </cell>
          <cell r="R167">
            <v>1072</v>
          </cell>
          <cell r="S167">
            <v>1071</v>
          </cell>
          <cell r="T167">
            <v>1052</v>
          </cell>
          <cell r="U167">
            <v>1043</v>
          </cell>
          <cell r="V167">
            <v>1047</v>
          </cell>
          <cell r="W167">
            <v>1040</v>
          </cell>
          <cell r="X167">
            <v>1059</v>
          </cell>
          <cell r="Y167">
            <v>1065</v>
          </cell>
          <cell r="Z167">
            <v>1055</v>
          </cell>
          <cell r="AA167">
            <v>1059</v>
          </cell>
          <cell r="AB167">
            <v>1048</v>
          </cell>
        </row>
        <row r="168">
          <cell r="C168" t="str">
            <v>Paraguay</v>
          </cell>
          <cell r="D168">
            <v>230</v>
          </cell>
          <cell r="E168">
            <v>228</v>
          </cell>
          <cell r="F168">
            <v>226</v>
          </cell>
          <cell r="G168">
            <v>211</v>
          </cell>
          <cell r="H168">
            <v>199</v>
          </cell>
          <cell r="I168">
            <v>198</v>
          </cell>
          <cell r="J168">
            <v>196</v>
          </cell>
          <cell r="K168">
            <v>196</v>
          </cell>
          <cell r="L168">
            <v>198</v>
          </cell>
          <cell r="M168">
            <v>196</v>
          </cell>
          <cell r="N168">
            <v>190</v>
          </cell>
          <cell r="O168">
            <v>192</v>
          </cell>
          <cell r="P168">
            <v>187</v>
          </cell>
          <cell r="Q168">
            <v>190</v>
          </cell>
          <cell r="R168">
            <v>182</v>
          </cell>
          <cell r="S168">
            <v>193</v>
          </cell>
          <cell r="T168">
            <v>188</v>
          </cell>
          <cell r="U168">
            <v>193</v>
          </cell>
          <cell r="V168">
            <v>193</v>
          </cell>
          <cell r="W168">
            <v>193</v>
          </cell>
          <cell r="X168">
            <v>194</v>
          </cell>
          <cell r="Y168">
            <v>192</v>
          </cell>
          <cell r="Z168">
            <v>192</v>
          </cell>
          <cell r="AA168">
            <v>190</v>
          </cell>
          <cell r="AB168">
            <v>189</v>
          </cell>
        </row>
        <row r="169">
          <cell r="C169" t="str">
            <v>Peru</v>
          </cell>
          <cell r="D169">
            <v>3307</v>
          </cell>
          <cell r="E169">
            <v>3332</v>
          </cell>
          <cell r="F169">
            <v>3258</v>
          </cell>
          <cell r="G169">
            <v>3285</v>
          </cell>
          <cell r="H169">
            <v>3353</v>
          </cell>
          <cell r="I169">
            <v>3365</v>
          </cell>
          <cell r="J169">
            <v>3395</v>
          </cell>
          <cell r="K169">
            <v>3358</v>
          </cell>
          <cell r="L169">
            <v>3310</v>
          </cell>
          <cell r="M169">
            <v>3299</v>
          </cell>
          <cell r="N169">
            <v>2963</v>
          </cell>
          <cell r="O169">
            <v>2926</v>
          </cell>
          <cell r="P169">
            <v>2931</v>
          </cell>
          <cell r="Q169">
            <v>2997</v>
          </cell>
          <cell r="R169">
            <v>3193</v>
          </cell>
          <cell r="S169">
            <v>3187</v>
          </cell>
          <cell r="T169">
            <v>3291</v>
          </cell>
          <cell r="U169">
            <v>3282</v>
          </cell>
          <cell r="V169">
            <v>3080</v>
          </cell>
          <cell r="W169">
            <v>3290</v>
          </cell>
          <cell r="X169">
            <v>3305</v>
          </cell>
          <cell r="Y169">
            <v>3274</v>
          </cell>
          <cell r="Z169">
            <v>3222</v>
          </cell>
          <cell r="AA169">
            <v>3031</v>
          </cell>
          <cell r="AB169">
            <v>2986</v>
          </cell>
        </row>
        <row r="170">
          <cell r="C170" t="str">
            <v>Philippines</v>
          </cell>
          <cell r="D170">
            <v>6149</v>
          </cell>
          <cell r="E170">
            <v>6270</v>
          </cell>
          <cell r="F170">
            <v>6233</v>
          </cell>
          <cell r="G170">
            <v>6278</v>
          </cell>
          <cell r="H170">
            <v>6369</v>
          </cell>
          <cell r="I170">
            <v>6300</v>
          </cell>
          <cell r="J170">
            <v>6200</v>
          </cell>
          <cell r="K170">
            <v>6323</v>
          </cell>
          <cell r="L170">
            <v>6207</v>
          </cell>
          <cell r="M170">
            <v>6273</v>
          </cell>
          <cell r="N170">
            <v>6225</v>
          </cell>
          <cell r="O170">
            <v>6280</v>
          </cell>
          <cell r="P170">
            <v>6611</v>
          </cell>
          <cell r="Q170">
            <v>6655</v>
          </cell>
          <cell r="R170">
            <v>6691</v>
          </cell>
          <cell r="S170">
            <v>6676</v>
          </cell>
          <cell r="T170">
            <v>6594</v>
          </cell>
          <cell r="U170">
            <v>6558</v>
          </cell>
          <cell r="V170">
            <v>6486</v>
          </cell>
          <cell r="W170">
            <v>6440</v>
          </cell>
          <cell r="X170">
            <v>6438</v>
          </cell>
          <cell r="Y170">
            <v>6548</v>
          </cell>
          <cell r="Z170">
            <v>6532</v>
          </cell>
          <cell r="AA170">
            <v>6527</v>
          </cell>
          <cell r="AB170">
            <v>6480</v>
          </cell>
        </row>
        <row r="171">
          <cell r="C171" t="str">
            <v>Poland</v>
          </cell>
          <cell r="D171">
            <v>3208</v>
          </cell>
          <cell r="E171">
            <v>3169</v>
          </cell>
          <cell r="F171">
            <v>3182</v>
          </cell>
          <cell r="G171">
            <v>3182</v>
          </cell>
          <cell r="H171">
            <v>3207</v>
          </cell>
          <cell r="I171">
            <v>3225</v>
          </cell>
          <cell r="J171">
            <v>3241</v>
          </cell>
          <cell r="K171">
            <v>3245</v>
          </cell>
          <cell r="L171">
            <v>3246</v>
          </cell>
          <cell r="M171">
            <v>3245</v>
          </cell>
          <cell r="N171">
            <v>3250</v>
          </cell>
          <cell r="O171">
            <v>3273</v>
          </cell>
          <cell r="P171">
            <v>3596</v>
          </cell>
          <cell r="Q171">
            <v>3592</v>
          </cell>
          <cell r="R171">
            <v>3586</v>
          </cell>
          <cell r="S171">
            <v>3677</v>
          </cell>
          <cell r="T171">
            <v>3657</v>
          </cell>
          <cell r="U171">
            <v>3669</v>
          </cell>
          <cell r="V171">
            <v>3709</v>
          </cell>
          <cell r="W171">
            <v>3734</v>
          </cell>
          <cell r="X171">
            <v>3742</v>
          </cell>
          <cell r="Y171">
            <v>3796</v>
          </cell>
          <cell r="Z171">
            <v>3840</v>
          </cell>
          <cell r="AA171">
            <v>3848</v>
          </cell>
          <cell r="AB171">
            <v>3895</v>
          </cell>
        </row>
        <row r="172">
          <cell r="C172" t="str">
            <v>Portugal</v>
          </cell>
          <cell r="D172">
            <v>3522</v>
          </cell>
          <cell r="E172">
            <v>3373</v>
          </cell>
          <cell r="F172">
            <v>3348</v>
          </cell>
          <cell r="G172">
            <v>3337</v>
          </cell>
          <cell r="H172">
            <v>3448</v>
          </cell>
          <cell r="I172">
            <v>3515</v>
          </cell>
          <cell r="J172">
            <v>3457</v>
          </cell>
          <cell r="K172">
            <v>3504</v>
          </cell>
          <cell r="L172">
            <v>3561</v>
          </cell>
          <cell r="M172">
            <v>3511</v>
          </cell>
          <cell r="N172">
            <v>3537</v>
          </cell>
          <cell r="O172">
            <v>3632</v>
          </cell>
          <cell r="P172">
            <v>4338</v>
          </cell>
          <cell r="Q172">
            <v>4390</v>
          </cell>
          <cell r="R172">
            <v>4455</v>
          </cell>
          <cell r="S172">
            <v>4487</v>
          </cell>
          <cell r="T172">
            <v>4544</v>
          </cell>
          <cell r="U172">
            <v>4523</v>
          </cell>
          <cell r="V172">
            <v>4502</v>
          </cell>
          <cell r="W172">
            <v>4533</v>
          </cell>
          <cell r="X172">
            <v>4627</v>
          </cell>
          <cell r="Y172">
            <v>4726</v>
          </cell>
          <cell r="Z172">
            <v>4790</v>
          </cell>
          <cell r="AA172">
            <v>4803</v>
          </cell>
          <cell r="AB172">
            <v>4920</v>
          </cell>
        </row>
        <row r="173">
          <cell r="C173" t="str">
            <v>Puerto Rico</v>
          </cell>
          <cell r="D173">
            <v>1588</v>
          </cell>
          <cell r="E173">
            <v>1572</v>
          </cell>
          <cell r="F173">
            <v>1550</v>
          </cell>
          <cell r="G173">
            <v>1558</v>
          </cell>
          <cell r="H173">
            <v>1569</v>
          </cell>
          <cell r="I173">
            <v>1584</v>
          </cell>
          <cell r="J173">
            <v>1593</v>
          </cell>
          <cell r="K173">
            <v>1578</v>
          </cell>
          <cell r="L173">
            <v>1637</v>
          </cell>
          <cell r="M173">
            <v>1690</v>
          </cell>
          <cell r="N173">
            <v>1688</v>
          </cell>
          <cell r="O173">
            <v>1684</v>
          </cell>
          <cell r="P173">
            <v>1647</v>
          </cell>
          <cell r="Q173">
            <v>1650</v>
          </cell>
          <cell r="R173">
            <v>1691</v>
          </cell>
          <cell r="S173">
            <v>1658</v>
          </cell>
          <cell r="T173">
            <v>1613</v>
          </cell>
          <cell r="U173">
            <v>1577</v>
          </cell>
          <cell r="V173">
            <v>1568</v>
          </cell>
          <cell r="W173">
            <v>1574</v>
          </cell>
          <cell r="X173">
            <v>1569</v>
          </cell>
          <cell r="Y173">
            <v>1600</v>
          </cell>
          <cell r="Z173">
            <v>1685</v>
          </cell>
          <cell r="AA173">
            <v>1697</v>
          </cell>
          <cell r="AB173">
            <v>1692</v>
          </cell>
        </row>
        <row r="174">
          <cell r="C174" t="str">
            <v>Qatar</v>
          </cell>
          <cell r="D174">
            <v>2099</v>
          </cell>
          <cell r="E174">
            <v>2094</v>
          </cell>
          <cell r="F174">
            <v>2093</v>
          </cell>
          <cell r="G174">
            <v>2102</v>
          </cell>
          <cell r="H174">
            <v>2116</v>
          </cell>
          <cell r="I174">
            <v>2119</v>
          </cell>
          <cell r="J174">
            <v>2109</v>
          </cell>
          <cell r="K174">
            <v>2104</v>
          </cell>
          <cell r="L174">
            <v>2101</v>
          </cell>
          <cell r="M174">
            <v>2108</v>
          </cell>
          <cell r="N174">
            <v>2105</v>
          </cell>
          <cell r="O174">
            <v>2086</v>
          </cell>
          <cell r="P174">
            <v>2087</v>
          </cell>
          <cell r="Q174">
            <v>2093</v>
          </cell>
          <cell r="R174">
            <v>2094</v>
          </cell>
          <cell r="S174">
            <v>2086</v>
          </cell>
          <cell r="T174">
            <v>2032</v>
          </cell>
          <cell r="U174">
            <v>1969</v>
          </cell>
          <cell r="V174">
            <v>1954</v>
          </cell>
          <cell r="W174">
            <v>1965</v>
          </cell>
          <cell r="X174">
            <v>2034</v>
          </cell>
          <cell r="Y174">
            <v>2095</v>
          </cell>
          <cell r="Z174">
            <v>2100</v>
          </cell>
          <cell r="AA174">
            <v>2115</v>
          </cell>
          <cell r="AB174">
            <v>2126</v>
          </cell>
        </row>
        <row r="175">
          <cell r="C175" t="str">
            <v>Reunion</v>
          </cell>
          <cell r="D175">
            <v>164</v>
          </cell>
          <cell r="E175">
            <v>167</v>
          </cell>
          <cell r="F175">
            <v>163</v>
          </cell>
          <cell r="G175">
            <v>137</v>
          </cell>
          <cell r="H175">
            <v>132</v>
          </cell>
          <cell r="I175">
            <v>131</v>
          </cell>
          <cell r="J175">
            <v>132</v>
          </cell>
          <cell r="K175">
            <v>131</v>
          </cell>
          <cell r="L175">
            <v>139</v>
          </cell>
          <cell r="M175">
            <v>146</v>
          </cell>
          <cell r="N175">
            <v>146</v>
          </cell>
          <cell r="O175">
            <v>132</v>
          </cell>
          <cell r="P175">
            <v>137</v>
          </cell>
          <cell r="Q175">
            <v>139</v>
          </cell>
          <cell r="R175">
            <v>141</v>
          </cell>
          <cell r="S175">
            <v>139</v>
          </cell>
          <cell r="T175">
            <v>142</v>
          </cell>
          <cell r="U175">
            <v>147</v>
          </cell>
          <cell r="V175">
            <v>158</v>
          </cell>
          <cell r="W175">
            <v>131</v>
          </cell>
          <cell r="X175">
            <v>132</v>
          </cell>
          <cell r="Y175">
            <v>131</v>
          </cell>
          <cell r="Z175">
            <v>137</v>
          </cell>
          <cell r="AA175">
            <v>139</v>
          </cell>
          <cell r="AB175">
            <v>155</v>
          </cell>
        </row>
        <row r="176">
          <cell r="C176" t="str">
            <v>Romania</v>
          </cell>
          <cell r="D176">
            <v>1654</v>
          </cell>
          <cell r="E176">
            <v>1581</v>
          </cell>
          <cell r="F176">
            <v>1538</v>
          </cell>
          <cell r="G176">
            <v>1565</v>
          </cell>
          <cell r="H176">
            <v>1560</v>
          </cell>
          <cell r="I176">
            <v>1553</v>
          </cell>
          <cell r="J176">
            <v>1551</v>
          </cell>
          <cell r="K176">
            <v>1550</v>
          </cell>
          <cell r="L176">
            <v>1539</v>
          </cell>
          <cell r="M176">
            <v>1545</v>
          </cell>
          <cell r="N176">
            <v>1531</v>
          </cell>
          <cell r="O176">
            <v>1544</v>
          </cell>
          <cell r="P176">
            <v>1705</v>
          </cell>
          <cell r="Q176">
            <v>1698</v>
          </cell>
          <cell r="R176">
            <v>1725</v>
          </cell>
          <cell r="S176">
            <v>1730</v>
          </cell>
          <cell r="T176">
            <v>1710</v>
          </cell>
          <cell r="U176">
            <v>1733</v>
          </cell>
          <cell r="V176">
            <v>1731</v>
          </cell>
          <cell r="W176">
            <v>1748</v>
          </cell>
          <cell r="X176">
            <v>1745</v>
          </cell>
          <cell r="Y176">
            <v>1769</v>
          </cell>
          <cell r="Z176">
            <v>1787</v>
          </cell>
          <cell r="AA176">
            <v>1830</v>
          </cell>
          <cell r="AB176">
            <v>1858</v>
          </cell>
        </row>
        <row r="177">
          <cell r="C177" t="str">
            <v>Russian Federation</v>
          </cell>
          <cell r="D177">
            <v>16596</v>
          </cell>
          <cell r="E177">
            <v>15548</v>
          </cell>
          <cell r="F177">
            <v>15122</v>
          </cell>
          <cell r="G177">
            <v>14705</v>
          </cell>
          <cell r="H177">
            <v>14820</v>
          </cell>
          <cell r="I177">
            <v>14928</v>
          </cell>
          <cell r="J177">
            <v>14849</v>
          </cell>
          <cell r="K177">
            <v>15099</v>
          </cell>
          <cell r="L177">
            <v>15389</v>
          </cell>
          <cell r="M177">
            <v>15332</v>
          </cell>
          <cell r="N177">
            <v>15187</v>
          </cell>
          <cell r="O177">
            <v>15002</v>
          </cell>
          <cell r="P177">
            <v>15396</v>
          </cell>
          <cell r="Q177">
            <v>15227</v>
          </cell>
          <cell r="R177">
            <v>15842</v>
          </cell>
          <cell r="S177">
            <v>16491</v>
          </cell>
          <cell r="T177">
            <v>17063</v>
          </cell>
          <cell r="U177">
            <v>17064</v>
          </cell>
          <cell r="V177">
            <v>17109</v>
          </cell>
          <cell r="W177">
            <v>17392</v>
          </cell>
          <cell r="X177">
            <v>18237</v>
          </cell>
          <cell r="Y177">
            <v>18827</v>
          </cell>
          <cell r="Z177">
            <v>19166</v>
          </cell>
          <cell r="AA177">
            <v>19105</v>
          </cell>
          <cell r="AB177">
            <v>19110</v>
          </cell>
        </row>
        <row r="178">
          <cell r="C178" t="str">
            <v>Rwanda</v>
          </cell>
          <cell r="D178">
            <v>316</v>
          </cell>
          <cell r="E178">
            <v>306</v>
          </cell>
          <cell r="F178">
            <v>306</v>
          </cell>
          <cell r="G178">
            <v>307</v>
          </cell>
          <cell r="H178">
            <v>304</v>
          </cell>
          <cell r="I178">
            <v>304</v>
          </cell>
          <cell r="J178">
            <v>307</v>
          </cell>
          <cell r="K178">
            <v>307</v>
          </cell>
          <cell r="L178">
            <v>304</v>
          </cell>
          <cell r="M178">
            <v>306</v>
          </cell>
          <cell r="N178">
            <v>310</v>
          </cell>
          <cell r="O178">
            <v>314</v>
          </cell>
          <cell r="P178">
            <v>314</v>
          </cell>
          <cell r="Q178">
            <v>314</v>
          </cell>
          <cell r="R178">
            <v>317</v>
          </cell>
          <cell r="S178">
            <v>320</v>
          </cell>
          <cell r="T178">
            <v>317</v>
          </cell>
          <cell r="U178">
            <v>319</v>
          </cell>
          <cell r="V178">
            <v>328</v>
          </cell>
          <cell r="W178">
            <v>319</v>
          </cell>
          <cell r="X178">
            <v>318</v>
          </cell>
          <cell r="Y178">
            <v>315</v>
          </cell>
          <cell r="Z178">
            <v>312</v>
          </cell>
          <cell r="AA178">
            <v>318</v>
          </cell>
          <cell r="AB178">
            <v>325</v>
          </cell>
        </row>
        <row r="179">
          <cell r="C179" t="str">
            <v>Saint Barthelemy</v>
          </cell>
          <cell r="D179">
            <v>384</v>
          </cell>
          <cell r="E179">
            <v>384</v>
          </cell>
          <cell r="F179">
            <v>378</v>
          </cell>
          <cell r="G179">
            <v>380</v>
          </cell>
          <cell r="H179">
            <v>384</v>
          </cell>
          <cell r="I179">
            <v>391</v>
          </cell>
          <cell r="J179">
            <v>408</v>
          </cell>
          <cell r="K179">
            <v>385</v>
          </cell>
          <cell r="L179">
            <v>395</v>
          </cell>
          <cell r="M179">
            <v>400</v>
          </cell>
          <cell r="N179">
            <v>397</v>
          </cell>
          <cell r="O179">
            <v>389</v>
          </cell>
          <cell r="P179">
            <v>382</v>
          </cell>
          <cell r="Q179">
            <v>368</v>
          </cell>
          <cell r="R179">
            <v>376</v>
          </cell>
          <cell r="S179">
            <v>380</v>
          </cell>
          <cell r="T179">
            <v>373</v>
          </cell>
          <cell r="U179">
            <v>358</v>
          </cell>
          <cell r="V179">
            <v>346</v>
          </cell>
          <cell r="W179">
            <v>346</v>
          </cell>
          <cell r="X179">
            <v>339</v>
          </cell>
          <cell r="Y179">
            <v>325</v>
          </cell>
          <cell r="Z179">
            <v>324</v>
          </cell>
          <cell r="AA179">
            <v>326</v>
          </cell>
          <cell r="AB179">
            <v>423</v>
          </cell>
        </row>
        <row r="180">
          <cell r="C180" t="str">
            <v>Saint Helena</v>
          </cell>
          <cell r="D180">
            <v>4</v>
          </cell>
          <cell r="E180">
            <v>4</v>
          </cell>
          <cell r="F180">
            <v>2</v>
          </cell>
          <cell r="G180">
            <v>2</v>
          </cell>
          <cell r="H180">
            <v>4</v>
          </cell>
          <cell r="I180">
            <v>2</v>
          </cell>
          <cell r="J180">
            <v>2</v>
          </cell>
          <cell r="K180">
            <v>2</v>
          </cell>
          <cell r="L180">
            <v>4</v>
          </cell>
          <cell r="M180">
            <v>5</v>
          </cell>
          <cell r="N180">
            <v>2</v>
          </cell>
          <cell r="O180">
            <v>2</v>
          </cell>
          <cell r="P180">
            <v>2</v>
          </cell>
          <cell r="Q180">
            <v>4</v>
          </cell>
          <cell r="R180">
            <v>2</v>
          </cell>
          <cell r="S180">
            <v>2</v>
          </cell>
          <cell r="T180">
            <v>1</v>
          </cell>
          <cell r="U180">
            <v>3</v>
          </cell>
          <cell r="V180">
            <v>1</v>
          </cell>
          <cell r="W180">
            <v>1</v>
          </cell>
          <cell r="X180">
            <v>1</v>
          </cell>
          <cell r="Y180">
            <v>3</v>
          </cell>
          <cell r="Z180">
            <v>1</v>
          </cell>
          <cell r="AA180">
            <v>1</v>
          </cell>
          <cell r="AB180">
            <v>1</v>
          </cell>
        </row>
        <row r="181">
          <cell r="C181" t="str">
            <v>Saint Kitts and Nevis, Leeward Islands</v>
          </cell>
          <cell r="D181">
            <v>143</v>
          </cell>
          <cell r="E181">
            <v>142</v>
          </cell>
          <cell r="F181">
            <v>145</v>
          </cell>
          <cell r="G181">
            <v>143</v>
          </cell>
          <cell r="H181">
            <v>140</v>
          </cell>
          <cell r="I181">
            <v>143</v>
          </cell>
          <cell r="J181">
            <v>142</v>
          </cell>
          <cell r="K181">
            <v>144</v>
          </cell>
          <cell r="L181">
            <v>142</v>
          </cell>
          <cell r="M181">
            <v>141</v>
          </cell>
          <cell r="N181">
            <v>141</v>
          </cell>
          <cell r="O181">
            <v>141</v>
          </cell>
          <cell r="P181">
            <v>134</v>
          </cell>
          <cell r="Q181">
            <v>136</v>
          </cell>
          <cell r="R181">
            <v>134</v>
          </cell>
          <cell r="S181">
            <v>135</v>
          </cell>
          <cell r="T181">
            <v>127</v>
          </cell>
          <cell r="U181">
            <v>121</v>
          </cell>
          <cell r="V181">
            <v>121</v>
          </cell>
          <cell r="W181">
            <v>122</v>
          </cell>
          <cell r="X181">
            <v>122</v>
          </cell>
          <cell r="Y181">
            <v>128</v>
          </cell>
          <cell r="Z181">
            <v>129</v>
          </cell>
          <cell r="AA181">
            <v>126</v>
          </cell>
          <cell r="AB181">
            <v>129</v>
          </cell>
        </row>
        <row r="182">
          <cell r="C182" t="str">
            <v>Saint Lucia</v>
          </cell>
          <cell r="D182">
            <v>143</v>
          </cell>
          <cell r="E182">
            <v>142</v>
          </cell>
          <cell r="F182">
            <v>143</v>
          </cell>
          <cell r="G182">
            <v>142</v>
          </cell>
          <cell r="H182">
            <v>144</v>
          </cell>
          <cell r="I182">
            <v>142</v>
          </cell>
          <cell r="J182">
            <v>141</v>
          </cell>
          <cell r="K182">
            <v>145</v>
          </cell>
          <cell r="L182">
            <v>148</v>
          </cell>
          <cell r="M182">
            <v>144</v>
          </cell>
          <cell r="N182">
            <v>142</v>
          </cell>
          <cell r="O182">
            <v>140</v>
          </cell>
          <cell r="P182">
            <v>131</v>
          </cell>
          <cell r="Q182">
            <v>127</v>
          </cell>
          <cell r="R182">
            <v>131</v>
          </cell>
          <cell r="S182">
            <v>133</v>
          </cell>
          <cell r="T182">
            <v>126</v>
          </cell>
          <cell r="U182">
            <v>124</v>
          </cell>
          <cell r="V182">
            <v>120</v>
          </cell>
          <cell r="W182">
            <v>120</v>
          </cell>
          <cell r="X182">
            <v>120</v>
          </cell>
          <cell r="Y182">
            <v>126</v>
          </cell>
          <cell r="Z182">
            <v>130</v>
          </cell>
          <cell r="AA182">
            <v>130</v>
          </cell>
          <cell r="AB182">
            <v>132</v>
          </cell>
        </row>
        <row r="183">
          <cell r="C183" t="str">
            <v>Saint Martin</v>
          </cell>
          <cell r="D183">
            <v>107</v>
          </cell>
          <cell r="E183">
            <v>106</v>
          </cell>
          <cell r="F183">
            <v>109</v>
          </cell>
          <cell r="G183">
            <v>109</v>
          </cell>
          <cell r="H183">
            <v>109</v>
          </cell>
          <cell r="I183">
            <v>109</v>
          </cell>
          <cell r="J183">
            <v>110</v>
          </cell>
          <cell r="K183">
            <v>122</v>
          </cell>
          <cell r="L183">
            <v>122</v>
          </cell>
          <cell r="M183">
            <v>114</v>
          </cell>
          <cell r="N183">
            <v>109</v>
          </cell>
          <cell r="O183">
            <v>107</v>
          </cell>
          <cell r="P183">
            <v>109</v>
          </cell>
          <cell r="Q183">
            <v>109</v>
          </cell>
          <cell r="R183">
            <v>117</v>
          </cell>
          <cell r="S183">
            <v>121</v>
          </cell>
          <cell r="T183">
            <v>118</v>
          </cell>
          <cell r="U183">
            <v>104</v>
          </cell>
          <cell r="V183">
            <v>104</v>
          </cell>
          <cell r="W183">
            <v>104</v>
          </cell>
          <cell r="X183">
            <v>104</v>
          </cell>
          <cell r="Y183">
            <v>104</v>
          </cell>
          <cell r="Z183">
            <v>104</v>
          </cell>
          <cell r="AA183">
            <v>104</v>
          </cell>
          <cell r="AB183">
            <v>110</v>
          </cell>
        </row>
        <row r="184">
          <cell r="C184" t="str">
            <v>Saint Pierre and Miquelon</v>
          </cell>
          <cell r="D184">
            <v>8</v>
          </cell>
          <cell r="E184">
            <v>8</v>
          </cell>
          <cell r="F184">
            <v>8</v>
          </cell>
          <cell r="G184">
            <v>8</v>
          </cell>
          <cell r="H184">
            <v>8</v>
          </cell>
          <cell r="I184">
            <v>8</v>
          </cell>
          <cell r="J184">
            <v>8</v>
          </cell>
          <cell r="K184">
            <v>8</v>
          </cell>
          <cell r="L184">
            <v>8</v>
          </cell>
          <cell r="M184">
            <v>8</v>
          </cell>
          <cell r="N184">
            <v>8</v>
          </cell>
          <cell r="O184">
            <v>8</v>
          </cell>
          <cell r="P184">
            <v>8</v>
          </cell>
          <cell r="Q184">
            <v>8</v>
          </cell>
          <cell r="R184">
            <v>8</v>
          </cell>
          <cell r="S184">
            <v>8</v>
          </cell>
          <cell r="T184">
            <v>8</v>
          </cell>
          <cell r="U184">
            <v>8</v>
          </cell>
          <cell r="V184">
            <v>8</v>
          </cell>
          <cell r="W184">
            <v>8</v>
          </cell>
          <cell r="X184">
            <v>8</v>
          </cell>
          <cell r="Y184">
            <v>8</v>
          </cell>
          <cell r="Z184">
            <v>9</v>
          </cell>
          <cell r="AA184">
            <v>9</v>
          </cell>
          <cell r="AB184">
            <v>10</v>
          </cell>
        </row>
        <row r="185">
          <cell r="C185" t="str">
            <v>Samoa</v>
          </cell>
          <cell r="D185">
            <v>42</v>
          </cell>
          <cell r="E185">
            <v>38</v>
          </cell>
          <cell r="F185">
            <v>35</v>
          </cell>
          <cell r="G185">
            <v>31</v>
          </cell>
          <cell r="H185">
            <v>26</v>
          </cell>
          <cell r="I185">
            <v>25</v>
          </cell>
          <cell r="J185">
            <v>25</v>
          </cell>
          <cell r="K185">
            <v>25</v>
          </cell>
          <cell r="L185">
            <v>26</v>
          </cell>
          <cell r="M185">
            <v>26</v>
          </cell>
          <cell r="N185">
            <v>26</v>
          </cell>
          <cell r="O185">
            <v>27</v>
          </cell>
          <cell r="P185">
            <v>28</v>
          </cell>
          <cell r="Q185">
            <v>32</v>
          </cell>
          <cell r="R185">
            <v>32</v>
          </cell>
          <cell r="S185">
            <v>32</v>
          </cell>
          <cell r="T185">
            <v>27</v>
          </cell>
          <cell r="U185">
            <v>26</v>
          </cell>
          <cell r="V185">
            <v>26</v>
          </cell>
          <cell r="W185">
            <v>26</v>
          </cell>
          <cell r="X185">
            <v>26</v>
          </cell>
          <cell r="Y185">
            <v>26</v>
          </cell>
          <cell r="Z185">
            <v>26</v>
          </cell>
          <cell r="AA185">
            <v>27</v>
          </cell>
          <cell r="AB185">
            <v>27</v>
          </cell>
        </row>
        <row r="186">
          <cell r="C186" t="str">
            <v>Sao Tome and Principe</v>
          </cell>
          <cell r="D186">
            <v>18</v>
          </cell>
          <cell r="E186">
            <v>18</v>
          </cell>
          <cell r="F186">
            <v>18</v>
          </cell>
          <cell r="G186">
            <v>18</v>
          </cell>
          <cell r="H186">
            <v>34</v>
          </cell>
          <cell r="I186">
            <v>34</v>
          </cell>
          <cell r="J186">
            <v>34</v>
          </cell>
          <cell r="K186">
            <v>36</v>
          </cell>
          <cell r="L186">
            <v>34</v>
          </cell>
          <cell r="M186">
            <v>34</v>
          </cell>
          <cell r="N186">
            <v>34</v>
          </cell>
          <cell r="O186">
            <v>31</v>
          </cell>
          <cell r="P186">
            <v>32</v>
          </cell>
          <cell r="Q186">
            <v>32</v>
          </cell>
          <cell r="R186">
            <v>32</v>
          </cell>
          <cell r="S186">
            <v>32</v>
          </cell>
          <cell r="T186">
            <v>34</v>
          </cell>
          <cell r="U186">
            <v>31</v>
          </cell>
          <cell r="V186">
            <v>47</v>
          </cell>
          <cell r="W186">
            <v>53</v>
          </cell>
          <cell r="X186">
            <v>53</v>
          </cell>
          <cell r="Y186">
            <v>55</v>
          </cell>
          <cell r="Z186">
            <v>55</v>
          </cell>
          <cell r="AA186">
            <v>39</v>
          </cell>
          <cell r="AB186">
            <v>39</v>
          </cell>
        </row>
        <row r="187">
          <cell r="C187" t="str">
            <v>Saudi Arabia</v>
          </cell>
          <cell r="D187">
            <v>6858</v>
          </cell>
          <cell r="E187">
            <v>6848</v>
          </cell>
          <cell r="F187">
            <v>6870</v>
          </cell>
          <cell r="G187">
            <v>6927</v>
          </cell>
          <cell r="H187">
            <v>6811</v>
          </cell>
          <cell r="I187">
            <v>6734</v>
          </cell>
          <cell r="J187">
            <v>6752</v>
          </cell>
          <cell r="K187">
            <v>6799</v>
          </cell>
          <cell r="L187">
            <v>6805</v>
          </cell>
          <cell r="M187">
            <v>6819</v>
          </cell>
          <cell r="N187">
            <v>6840</v>
          </cell>
          <cell r="O187">
            <v>6773</v>
          </cell>
          <cell r="P187">
            <v>7026</v>
          </cell>
          <cell r="Q187">
            <v>6932</v>
          </cell>
          <cell r="R187">
            <v>6918</v>
          </cell>
          <cell r="S187">
            <v>6979</v>
          </cell>
          <cell r="T187">
            <v>7111</v>
          </cell>
          <cell r="U187">
            <v>7141</v>
          </cell>
          <cell r="V187">
            <v>6934</v>
          </cell>
          <cell r="W187">
            <v>6937</v>
          </cell>
          <cell r="X187">
            <v>6941</v>
          </cell>
          <cell r="Y187">
            <v>7543</v>
          </cell>
          <cell r="Z187">
            <v>7373</v>
          </cell>
          <cell r="AA187">
            <v>7112</v>
          </cell>
          <cell r="AB187">
            <v>6938</v>
          </cell>
        </row>
        <row r="188">
          <cell r="C188" t="str">
            <v>Senegal</v>
          </cell>
          <cell r="D188">
            <v>337</v>
          </cell>
          <cell r="E188">
            <v>325</v>
          </cell>
          <cell r="F188">
            <v>324</v>
          </cell>
          <cell r="G188">
            <v>322</v>
          </cell>
          <cell r="H188">
            <v>313</v>
          </cell>
          <cell r="I188">
            <v>313</v>
          </cell>
          <cell r="J188">
            <v>309</v>
          </cell>
          <cell r="K188">
            <v>316</v>
          </cell>
          <cell r="L188">
            <v>307</v>
          </cell>
          <cell r="M188">
            <v>302</v>
          </cell>
          <cell r="N188">
            <v>301</v>
          </cell>
          <cell r="O188">
            <v>306</v>
          </cell>
          <cell r="P188">
            <v>302</v>
          </cell>
          <cell r="Q188">
            <v>304</v>
          </cell>
          <cell r="R188">
            <v>293</v>
          </cell>
          <cell r="S188">
            <v>285</v>
          </cell>
          <cell r="T188">
            <v>285</v>
          </cell>
          <cell r="U188">
            <v>282</v>
          </cell>
          <cell r="V188">
            <v>283</v>
          </cell>
          <cell r="W188">
            <v>281</v>
          </cell>
          <cell r="X188">
            <v>276</v>
          </cell>
          <cell r="Y188">
            <v>278</v>
          </cell>
          <cell r="Z188">
            <v>282</v>
          </cell>
          <cell r="AA188">
            <v>298</v>
          </cell>
          <cell r="AB188">
            <v>298</v>
          </cell>
        </row>
        <row r="189">
          <cell r="C189" t="str">
            <v>Serbia</v>
          </cell>
          <cell r="D189">
            <v>629</v>
          </cell>
          <cell r="E189">
            <v>580</v>
          </cell>
          <cell r="F189">
            <v>563</v>
          </cell>
          <cell r="G189">
            <v>577</v>
          </cell>
          <cell r="H189">
            <v>580</v>
          </cell>
          <cell r="I189">
            <v>582</v>
          </cell>
          <cell r="J189">
            <v>572</v>
          </cell>
          <cell r="K189">
            <v>578</v>
          </cell>
          <cell r="L189">
            <v>579</v>
          </cell>
          <cell r="M189">
            <v>578</v>
          </cell>
          <cell r="N189">
            <v>590</v>
          </cell>
          <cell r="O189">
            <v>598</v>
          </cell>
          <cell r="P189">
            <v>681</v>
          </cell>
          <cell r="Q189">
            <v>692</v>
          </cell>
          <cell r="R189">
            <v>712</v>
          </cell>
          <cell r="S189">
            <v>711</v>
          </cell>
          <cell r="T189">
            <v>714</v>
          </cell>
          <cell r="U189">
            <v>708</v>
          </cell>
          <cell r="V189">
            <v>703</v>
          </cell>
          <cell r="W189">
            <v>711</v>
          </cell>
          <cell r="X189">
            <v>742</v>
          </cell>
          <cell r="Y189">
            <v>762</v>
          </cell>
          <cell r="Z189">
            <v>800</v>
          </cell>
          <cell r="AA189">
            <v>844</v>
          </cell>
          <cell r="AB189">
            <v>871</v>
          </cell>
        </row>
        <row r="190">
          <cell r="C190" t="str">
            <v>Seychelles</v>
          </cell>
          <cell r="D190">
            <v>382</v>
          </cell>
          <cell r="E190">
            <v>376</v>
          </cell>
          <cell r="F190">
            <v>365</v>
          </cell>
          <cell r="G190">
            <v>357</v>
          </cell>
          <cell r="H190">
            <v>405</v>
          </cell>
          <cell r="I190">
            <v>407</v>
          </cell>
          <cell r="J190">
            <v>411</v>
          </cell>
          <cell r="K190">
            <v>397</v>
          </cell>
          <cell r="L190">
            <v>398</v>
          </cell>
          <cell r="M190">
            <v>386</v>
          </cell>
          <cell r="N190">
            <v>406</v>
          </cell>
          <cell r="O190">
            <v>398</v>
          </cell>
          <cell r="P190">
            <v>402</v>
          </cell>
          <cell r="Q190">
            <v>488</v>
          </cell>
          <cell r="R190">
            <v>487</v>
          </cell>
          <cell r="S190">
            <v>428</v>
          </cell>
          <cell r="T190">
            <v>409</v>
          </cell>
          <cell r="U190">
            <v>391</v>
          </cell>
          <cell r="V190">
            <v>250</v>
          </cell>
          <cell r="W190">
            <v>239</v>
          </cell>
          <cell r="X190">
            <v>376</v>
          </cell>
          <cell r="Y190">
            <v>375</v>
          </cell>
          <cell r="Z190">
            <v>393</v>
          </cell>
          <cell r="AA190">
            <v>485</v>
          </cell>
          <cell r="AB190">
            <v>488</v>
          </cell>
        </row>
        <row r="191">
          <cell r="C191" t="str">
            <v>Sierra Leone</v>
          </cell>
          <cell r="D191">
            <v>76</v>
          </cell>
          <cell r="E191">
            <v>83</v>
          </cell>
          <cell r="F191">
            <v>69</v>
          </cell>
          <cell r="G191">
            <v>69</v>
          </cell>
          <cell r="H191">
            <v>65</v>
          </cell>
          <cell r="I191">
            <v>65</v>
          </cell>
          <cell r="J191">
            <v>65</v>
          </cell>
          <cell r="K191">
            <v>69</v>
          </cell>
          <cell r="L191">
            <v>68</v>
          </cell>
          <cell r="M191">
            <v>68</v>
          </cell>
          <cell r="N191">
            <v>68</v>
          </cell>
          <cell r="O191">
            <v>68</v>
          </cell>
          <cell r="P191">
            <v>68</v>
          </cell>
          <cell r="Q191">
            <v>69</v>
          </cell>
          <cell r="R191">
            <v>63</v>
          </cell>
          <cell r="S191">
            <v>63</v>
          </cell>
          <cell r="T191">
            <v>61</v>
          </cell>
          <cell r="U191">
            <v>65</v>
          </cell>
          <cell r="V191">
            <v>64</v>
          </cell>
          <cell r="W191">
            <v>64</v>
          </cell>
          <cell r="X191">
            <v>62</v>
          </cell>
          <cell r="Y191">
            <v>62</v>
          </cell>
          <cell r="Z191">
            <v>64</v>
          </cell>
          <cell r="AA191">
            <v>65</v>
          </cell>
          <cell r="AB191">
            <v>64</v>
          </cell>
        </row>
        <row r="192">
          <cell r="C192" t="str">
            <v>Singapore</v>
          </cell>
          <cell r="D192">
            <v>3903</v>
          </cell>
          <cell r="E192">
            <v>3876</v>
          </cell>
          <cell r="F192">
            <v>3906</v>
          </cell>
          <cell r="G192">
            <v>3978</v>
          </cell>
          <cell r="H192">
            <v>4034</v>
          </cell>
          <cell r="I192">
            <v>3973</v>
          </cell>
          <cell r="J192">
            <v>3941</v>
          </cell>
          <cell r="K192">
            <v>3912</v>
          </cell>
          <cell r="L192">
            <v>3880</v>
          </cell>
          <cell r="M192">
            <v>3901</v>
          </cell>
          <cell r="N192">
            <v>3719</v>
          </cell>
          <cell r="O192">
            <v>3707</v>
          </cell>
          <cell r="P192">
            <v>3727</v>
          </cell>
          <cell r="Q192">
            <v>3728</v>
          </cell>
          <cell r="R192">
            <v>3734</v>
          </cell>
          <cell r="S192">
            <v>3762</v>
          </cell>
          <cell r="T192">
            <v>3767</v>
          </cell>
          <cell r="U192">
            <v>3674</v>
          </cell>
          <cell r="V192">
            <v>3657</v>
          </cell>
          <cell r="W192">
            <v>3670</v>
          </cell>
          <cell r="X192">
            <v>3704</v>
          </cell>
          <cell r="Y192">
            <v>3777</v>
          </cell>
          <cell r="Z192">
            <v>3782</v>
          </cell>
          <cell r="AA192">
            <v>3752</v>
          </cell>
          <cell r="AB192">
            <v>3726</v>
          </cell>
        </row>
        <row r="193">
          <cell r="C193" t="str">
            <v>Slovakia</v>
          </cell>
          <cell r="D193">
            <v>158</v>
          </cell>
          <cell r="E193">
            <v>136</v>
          </cell>
          <cell r="F193">
            <v>137</v>
          </cell>
          <cell r="G193">
            <v>137</v>
          </cell>
          <cell r="H193">
            <v>137</v>
          </cell>
          <cell r="I193">
            <v>138</v>
          </cell>
          <cell r="J193">
            <v>139</v>
          </cell>
          <cell r="K193">
            <v>140</v>
          </cell>
          <cell r="L193">
            <v>139</v>
          </cell>
          <cell r="M193">
            <v>136</v>
          </cell>
          <cell r="N193">
            <v>136</v>
          </cell>
          <cell r="O193">
            <v>135</v>
          </cell>
          <cell r="P193">
            <v>150</v>
          </cell>
          <cell r="Q193">
            <v>151</v>
          </cell>
          <cell r="R193">
            <v>155</v>
          </cell>
          <cell r="S193">
            <v>159</v>
          </cell>
          <cell r="T193">
            <v>157</v>
          </cell>
          <cell r="U193">
            <v>159</v>
          </cell>
          <cell r="V193">
            <v>158</v>
          </cell>
          <cell r="W193">
            <v>160</v>
          </cell>
          <cell r="X193">
            <v>171</v>
          </cell>
          <cell r="Y193">
            <v>207</v>
          </cell>
          <cell r="Z193">
            <v>240</v>
          </cell>
          <cell r="AA193">
            <v>250</v>
          </cell>
          <cell r="AB193">
            <v>269</v>
          </cell>
        </row>
        <row r="194">
          <cell r="C194" t="str">
            <v>Slovenia</v>
          </cell>
          <cell r="D194">
            <v>211</v>
          </cell>
          <cell r="E194">
            <v>207</v>
          </cell>
          <cell r="F194">
            <v>207</v>
          </cell>
          <cell r="G194">
            <v>206</v>
          </cell>
          <cell r="H194">
            <v>207</v>
          </cell>
          <cell r="I194">
            <v>205</v>
          </cell>
          <cell r="J194">
            <v>206</v>
          </cell>
          <cell r="K194">
            <v>207</v>
          </cell>
          <cell r="L194">
            <v>208</v>
          </cell>
          <cell r="M194">
            <v>207</v>
          </cell>
          <cell r="N194">
            <v>209</v>
          </cell>
          <cell r="O194">
            <v>213</v>
          </cell>
          <cell r="P194">
            <v>222</v>
          </cell>
          <cell r="Q194">
            <v>232</v>
          </cell>
          <cell r="R194">
            <v>240</v>
          </cell>
          <cell r="S194">
            <v>242</v>
          </cell>
          <cell r="T194">
            <v>244</v>
          </cell>
          <cell r="U194">
            <v>241</v>
          </cell>
          <cell r="V194">
            <v>240</v>
          </cell>
          <cell r="W194">
            <v>237</v>
          </cell>
          <cell r="X194">
            <v>242</v>
          </cell>
          <cell r="Y194">
            <v>246</v>
          </cell>
          <cell r="Z194">
            <v>244</v>
          </cell>
          <cell r="AA194">
            <v>250</v>
          </cell>
          <cell r="AB194">
            <v>244</v>
          </cell>
        </row>
        <row r="195">
          <cell r="C195" t="str">
            <v>Solomon Islands</v>
          </cell>
          <cell r="D195">
            <v>281</v>
          </cell>
          <cell r="E195">
            <v>289</v>
          </cell>
          <cell r="F195">
            <v>266</v>
          </cell>
          <cell r="G195">
            <v>267</v>
          </cell>
          <cell r="H195">
            <v>274</v>
          </cell>
          <cell r="I195">
            <v>275</v>
          </cell>
          <cell r="J195">
            <v>290</v>
          </cell>
          <cell r="K195">
            <v>268</v>
          </cell>
          <cell r="L195">
            <v>257</v>
          </cell>
          <cell r="M195">
            <v>276</v>
          </cell>
          <cell r="N195">
            <v>270</v>
          </cell>
          <cell r="O195">
            <v>276</v>
          </cell>
          <cell r="P195">
            <v>289</v>
          </cell>
          <cell r="Q195">
            <v>285</v>
          </cell>
          <cell r="R195">
            <v>273</v>
          </cell>
          <cell r="S195">
            <v>283</v>
          </cell>
          <cell r="T195">
            <v>281</v>
          </cell>
          <cell r="U195">
            <v>274</v>
          </cell>
          <cell r="V195">
            <v>275</v>
          </cell>
          <cell r="W195">
            <v>282</v>
          </cell>
          <cell r="X195">
            <v>279</v>
          </cell>
          <cell r="Y195">
            <v>275</v>
          </cell>
          <cell r="Z195">
            <v>277</v>
          </cell>
          <cell r="AA195">
            <v>282</v>
          </cell>
          <cell r="AB195">
            <v>281</v>
          </cell>
        </row>
        <row r="196">
          <cell r="C196" t="str">
            <v>Somalia</v>
          </cell>
          <cell r="D196">
            <v>168</v>
          </cell>
          <cell r="E196">
            <v>165</v>
          </cell>
          <cell r="F196">
            <v>169</v>
          </cell>
          <cell r="G196">
            <v>169</v>
          </cell>
          <cell r="H196">
            <v>186</v>
          </cell>
          <cell r="I196">
            <v>186</v>
          </cell>
          <cell r="J196">
            <v>186</v>
          </cell>
          <cell r="K196">
            <v>191</v>
          </cell>
          <cell r="L196">
            <v>190</v>
          </cell>
          <cell r="M196">
            <v>190</v>
          </cell>
          <cell r="N196">
            <v>190</v>
          </cell>
          <cell r="O196">
            <v>185</v>
          </cell>
          <cell r="P196">
            <v>164</v>
          </cell>
          <cell r="Q196">
            <v>160</v>
          </cell>
          <cell r="R196">
            <v>168</v>
          </cell>
          <cell r="S196">
            <v>168</v>
          </cell>
          <cell r="T196">
            <v>167</v>
          </cell>
          <cell r="U196">
            <v>167</v>
          </cell>
          <cell r="V196">
            <v>165</v>
          </cell>
          <cell r="W196">
            <v>174</v>
          </cell>
          <cell r="X196">
            <v>174</v>
          </cell>
          <cell r="Y196">
            <v>161</v>
          </cell>
          <cell r="Z196">
            <v>161</v>
          </cell>
          <cell r="AA196">
            <v>161</v>
          </cell>
          <cell r="AB196">
            <v>161</v>
          </cell>
        </row>
        <row r="197">
          <cell r="C197" t="str">
            <v>South Africa</v>
          </cell>
          <cell r="D197">
            <v>4537</v>
          </cell>
          <cell r="E197">
            <v>4603</v>
          </cell>
          <cell r="F197">
            <v>4661</v>
          </cell>
          <cell r="G197">
            <v>4728</v>
          </cell>
          <cell r="H197">
            <v>4649</v>
          </cell>
          <cell r="I197">
            <v>4708</v>
          </cell>
          <cell r="J197">
            <v>4677</v>
          </cell>
          <cell r="K197">
            <v>4748</v>
          </cell>
          <cell r="L197">
            <v>4789</v>
          </cell>
          <cell r="M197">
            <v>4841</v>
          </cell>
          <cell r="N197">
            <v>4664</v>
          </cell>
          <cell r="O197">
            <v>4521</v>
          </cell>
          <cell r="P197">
            <v>4442</v>
          </cell>
          <cell r="Q197">
            <v>4426</v>
          </cell>
          <cell r="R197">
            <v>4378</v>
          </cell>
          <cell r="S197">
            <v>4458</v>
          </cell>
          <cell r="T197">
            <v>4321</v>
          </cell>
          <cell r="U197">
            <v>4252</v>
          </cell>
          <cell r="V197">
            <v>4393</v>
          </cell>
          <cell r="W197">
            <v>4405</v>
          </cell>
          <cell r="X197">
            <v>4419</v>
          </cell>
          <cell r="Y197">
            <v>4397</v>
          </cell>
          <cell r="Z197">
            <v>4370</v>
          </cell>
          <cell r="AA197">
            <v>4304</v>
          </cell>
          <cell r="AB197">
            <v>4384</v>
          </cell>
        </row>
        <row r="198">
          <cell r="C198" t="str">
            <v>South Sudan</v>
          </cell>
          <cell r="D198">
            <v>73</v>
          </cell>
          <cell r="E198">
            <v>74</v>
          </cell>
          <cell r="F198">
            <v>72</v>
          </cell>
          <cell r="G198">
            <v>71</v>
          </cell>
          <cell r="H198">
            <v>65</v>
          </cell>
          <cell r="I198">
            <v>68</v>
          </cell>
          <cell r="J198">
            <v>68</v>
          </cell>
          <cell r="K198">
            <v>69</v>
          </cell>
          <cell r="L198">
            <v>72</v>
          </cell>
          <cell r="M198">
            <v>68</v>
          </cell>
          <cell r="N198">
            <v>68</v>
          </cell>
          <cell r="O198">
            <v>63</v>
          </cell>
          <cell r="P198">
            <v>68</v>
          </cell>
          <cell r="Q198">
            <v>68</v>
          </cell>
          <cell r="R198">
            <v>68</v>
          </cell>
          <cell r="S198">
            <v>67</v>
          </cell>
          <cell r="T198">
            <v>67</v>
          </cell>
          <cell r="U198">
            <v>67</v>
          </cell>
          <cell r="V198">
            <v>67</v>
          </cell>
          <cell r="W198">
            <v>67</v>
          </cell>
          <cell r="X198">
            <v>69</v>
          </cell>
          <cell r="Y198">
            <v>72</v>
          </cell>
          <cell r="Z198">
            <v>71</v>
          </cell>
          <cell r="AA198">
            <v>69</v>
          </cell>
          <cell r="AB198">
            <v>69</v>
          </cell>
        </row>
        <row r="199">
          <cell r="C199" t="str">
            <v>Spain</v>
          </cell>
          <cell r="D199">
            <v>14934</v>
          </cell>
          <cell r="E199">
            <v>14513</v>
          </cell>
          <cell r="F199">
            <v>14525</v>
          </cell>
          <cell r="G199">
            <v>14605</v>
          </cell>
          <cell r="H199">
            <v>14823</v>
          </cell>
          <cell r="I199">
            <v>15179</v>
          </cell>
          <cell r="J199">
            <v>15394</v>
          </cell>
          <cell r="K199">
            <v>15861</v>
          </cell>
          <cell r="L199">
            <v>15903</v>
          </cell>
          <cell r="M199">
            <v>15842</v>
          </cell>
          <cell r="N199">
            <v>15818</v>
          </cell>
          <cell r="O199">
            <v>16008</v>
          </cell>
          <cell r="P199">
            <v>18445</v>
          </cell>
          <cell r="Q199">
            <v>18981</v>
          </cell>
          <cell r="R199">
            <v>19114</v>
          </cell>
          <cell r="S199">
            <v>19417</v>
          </cell>
          <cell r="T199">
            <v>19313</v>
          </cell>
          <cell r="U199">
            <v>19519</v>
          </cell>
          <cell r="V199">
            <v>19536</v>
          </cell>
          <cell r="W199">
            <v>19800</v>
          </cell>
          <cell r="X199">
            <v>20198</v>
          </cell>
          <cell r="Y199">
            <v>20872</v>
          </cell>
          <cell r="Z199">
            <v>21056</v>
          </cell>
          <cell r="AA199">
            <v>21197</v>
          </cell>
          <cell r="AB199">
            <v>21563</v>
          </cell>
        </row>
        <row r="200">
          <cell r="C200" t="str">
            <v>Sri Lanka</v>
          </cell>
          <cell r="D200">
            <v>1023</v>
          </cell>
          <cell r="E200">
            <v>1014</v>
          </cell>
          <cell r="F200">
            <v>1012</v>
          </cell>
          <cell r="G200">
            <v>1020</v>
          </cell>
          <cell r="H200">
            <v>1025</v>
          </cell>
          <cell r="I200">
            <v>1022</v>
          </cell>
          <cell r="J200">
            <v>1017</v>
          </cell>
          <cell r="K200">
            <v>1017</v>
          </cell>
          <cell r="L200">
            <v>1018</v>
          </cell>
          <cell r="M200">
            <v>1019</v>
          </cell>
          <cell r="N200">
            <v>1010</v>
          </cell>
          <cell r="O200">
            <v>1008</v>
          </cell>
          <cell r="P200">
            <v>962</v>
          </cell>
          <cell r="Q200">
            <v>965</v>
          </cell>
          <cell r="R200">
            <v>958</v>
          </cell>
          <cell r="S200">
            <v>955</v>
          </cell>
          <cell r="T200">
            <v>892</v>
          </cell>
          <cell r="U200">
            <v>833</v>
          </cell>
          <cell r="V200">
            <v>817</v>
          </cell>
          <cell r="W200">
            <v>802</v>
          </cell>
          <cell r="X200">
            <v>821</v>
          </cell>
          <cell r="Y200">
            <v>823</v>
          </cell>
          <cell r="Z200">
            <v>833</v>
          </cell>
          <cell r="AA200">
            <v>836</v>
          </cell>
          <cell r="AB200">
            <v>850</v>
          </cell>
        </row>
        <row r="201">
          <cell r="C201" t="str">
            <v>St Maarten (dutch Part)</v>
          </cell>
          <cell r="D201">
            <v>693</v>
          </cell>
          <cell r="E201">
            <v>687</v>
          </cell>
          <cell r="F201">
            <v>694</v>
          </cell>
          <cell r="G201">
            <v>682</v>
          </cell>
          <cell r="H201">
            <v>683</v>
          </cell>
          <cell r="I201">
            <v>690</v>
          </cell>
          <cell r="J201">
            <v>703</v>
          </cell>
          <cell r="K201">
            <v>695</v>
          </cell>
          <cell r="L201">
            <v>694</v>
          </cell>
          <cell r="M201">
            <v>692</v>
          </cell>
          <cell r="N201">
            <v>694</v>
          </cell>
          <cell r="O201">
            <v>679</v>
          </cell>
          <cell r="P201">
            <v>667</v>
          </cell>
          <cell r="Q201">
            <v>672</v>
          </cell>
          <cell r="R201">
            <v>672</v>
          </cell>
          <cell r="S201">
            <v>679</v>
          </cell>
          <cell r="T201">
            <v>657</v>
          </cell>
          <cell r="U201">
            <v>658</v>
          </cell>
          <cell r="V201">
            <v>654</v>
          </cell>
          <cell r="W201">
            <v>654</v>
          </cell>
          <cell r="X201">
            <v>657</v>
          </cell>
          <cell r="Y201">
            <v>648</v>
          </cell>
          <cell r="Z201">
            <v>647</v>
          </cell>
          <cell r="AA201">
            <v>650</v>
          </cell>
          <cell r="AB201">
            <v>772</v>
          </cell>
        </row>
        <row r="202">
          <cell r="C202" t="str">
            <v>St Vincent and the Grenadines</v>
          </cell>
          <cell r="D202">
            <v>67</v>
          </cell>
          <cell r="E202">
            <v>67</v>
          </cell>
          <cell r="F202">
            <v>67</v>
          </cell>
          <cell r="G202">
            <v>67</v>
          </cell>
          <cell r="H202">
            <v>67</v>
          </cell>
          <cell r="I202">
            <v>67</v>
          </cell>
          <cell r="J202">
            <v>67</v>
          </cell>
          <cell r="K202">
            <v>66</v>
          </cell>
          <cell r="L202">
            <v>67</v>
          </cell>
          <cell r="M202">
            <v>66</v>
          </cell>
          <cell r="N202">
            <v>66</v>
          </cell>
          <cell r="O202">
            <v>66</v>
          </cell>
          <cell r="P202">
            <v>66</v>
          </cell>
          <cell r="Q202">
            <v>66</v>
          </cell>
          <cell r="R202">
            <v>67</v>
          </cell>
          <cell r="S202">
            <v>67</v>
          </cell>
          <cell r="T202">
            <v>65</v>
          </cell>
          <cell r="U202">
            <v>65</v>
          </cell>
          <cell r="V202">
            <v>62</v>
          </cell>
          <cell r="W202">
            <v>62</v>
          </cell>
          <cell r="X202">
            <v>62</v>
          </cell>
          <cell r="Y202">
            <v>62</v>
          </cell>
          <cell r="Z202">
            <v>62</v>
          </cell>
          <cell r="AA202">
            <v>63</v>
          </cell>
          <cell r="AB202">
            <v>65</v>
          </cell>
        </row>
        <row r="203">
          <cell r="C203" t="str">
            <v>Sudan</v>
          </cell>
          <cell r="D203">
            <v>374</v>
          </cell>
          <cell r="E203">
            <v>371</v>
          </cell>
          <cell r="F203">
            <v>367</v>
          </cell>
          <cell r="G203">
            <v>366</v>
          </cell>
          <cell r="H203">
            <v>358</v>
          </cell>
          <cell r="I203">
            <v>357</v>
          </cell>
          <cell r="J203">
            <v>354</v>
          </cell>
          <cell r="K203">
            <v>353</v>
          </cell>
          <cell r="L203">
            <v>354</v>
          </cell>
          <cell r="M203">
            <v>348</v>
          </cell>
          <cell r="N203">
            <v>347</v>
          </cell>
          <cell r="O203">
            <v>219</v>
          </cell>
          <cell r="P203">
            <v>306</v>
          </cell>
          <cell r="Q203">
            <v>304</v>
          </cell>
          <cell r="R203">
            <v>305</v>
          </cell>
          <cell r="S203">
            <v>305</v>
          </cell>
          <cell r="T203">
            <v>319</v>
          </cell>
          <cell r="U203">
            <v>318</v>
          </cell>
          <cell r="V203">
            <v>325</v>
          </cell>
          <cell r="W203">
            <v>326</v>
          </cell>
          <cell r="X203">
            <v>335</v>
          </cell>
          <cell r="Y203">
            <v>342</v>
          </cell>
          <cell r="Z203">
            <v>338</v>
          </cell>
          <cell r="AA203">
            <v>329</v>
          </cell>
          <cell r="AB203">
            <v>319</v>
          </cell>
        </row>
        <row r="204">
          <cell r="C204" t="str">
            <v>Suriname</v>
          </cell>
          <cell r="D204">
            <v>59</v>
          </cell>
          <cell r="E204">
            <v>56</v>
          </cell>
          <cell r="F204">
            <v>56</v>
          </cell>
          <cell r="G204">
            <v>53</v>
          </cell>
          <cell r="H204">
            <v>54</v>
          </cell>
          <cell r="I204">
            <v>53</v>
          </cell>
          <cell r="J204">
            <v>54</v>
          </cell>
          <cell r="K204">
            <v>54</v>
          </cell>
          <cell r="L204">
            <v>55</v>
          </cell>
          <cell r="M204">
            <v>58</v>
          </cell>
          <cell r="N204">
            <v>58</v>
          </cell>
          <cell r="O204">
            <v>58</v>
          </cell>
          <cell r="P204">
            <v>58</v>
          </cell>
          <cell r="Q204">
            <v>58</v>
          </cell>
          <cell r="R204">
            <v>59</v>
          </cell>
          <cell r="S204">
            <v>65</v>
          </cell>
          <cell r="T204">
            <v>65</v>
          </cell>
          <cell r="U204">
            <v>58</v>
          </cell>
          <cell r="V204">
            <v>66</v>
          </cell>
          <cell r="W204">
            <v>66</v>
          </cell>
          <cell r="X204">
            <v>65</v>
          </cell>
          <cell r="Y204">
            <v>65</v>
          </cell>
          <cell r="Z204">
            <v>65</v>
          </cell>
          <cell r="AA204">
            <v>65</v>
          </cell>
          <cell r="AB204">
            <v>64</v>
          </cell>
        </row>
        <row r="205">
          <cell r="C205" t="str">
            <v>Sweden</v>
          </cell>
          <cell r="D205">
            <v>4188</v>
          </cell>
          <cell r="E205">
            <v>4289</v>
          </cell>
          <cell r="F205">
            <v>4397</v>
          </cell>
          <cell r="G205">
            <v>4444</v>
          </cell>
          <cell r="H205">
            <v>4532</v>
          </cell>
          <cell r="I205">
            <v>4474</v>
          </cell>
          <cell r="J205">
            <v>4475</v>
          </cell>
          <cell r="K205">
            <v>4385</v>
          </cell>
          <cell r="L205">
            <v>4668</v>
          </cell>
          <cell r="M205">
            <v>4763</v>
          </cell>
          <cell r="N205">
            <v>4763</v>
          </cell>
          <cell r="O205">
            <v>4752</v>
          </cell>
          <cell r="P205">
            <v>4909</v>
          </cell>
          <cell r="Q205">
            <v>4896</v>
          </cell>
          <cell r="R205">
            <v>4069</v>
          </cell>
          <cell r="S205">
            <v>4554</v>
          </cell>
          <cell r="T205">
            <v>4212</v>
          </cell>
          <cell r="U205">
            <v>4921</v>
          </cell>
          <cell r="V205">
            <v>4931</v>
          </cell>
          <cell r="W205">
            <v>4951</v>
          </cell>
          <cell r="X205">
            <v>4321</v>
          </cell>
          <cell r="Y205">
            <v>4479</v>
          </cell>
          <cell r="Z205">
            <v>4972</v>
          </cell>
          <cell r="AA205">
            <v>4358</v>
          </cell>
          <cell r="AB205">
            <v>4445</v>
          </cell>
        </row>
        <row r="206">
          <cell r="C206" t="str">
            <v>Switzerland</v>
          </cell>
          <cell r="D206">
            <v>4160</v>
          </cell>
          <cell r="E206">
            <v>4084</v>
          </cell>
          <cell r="F206">
            <v>4085</v>
          </cell>
          <cell r="G206">
            <v>4160</v>
          </cell>
          <cell r="H206">
            <v>4261</v>
          </cell>
          <cell r="I206">
            <v>4346</v>
          </cell>
          <cell r="J206">
            <v>4377</v>
          </cell>
          <cell r="K206">
            <v>4392</v>
          </cell>
          <cell r="L206">
            <v>4428</v>
          </cell>
          <cell r="M206">
            <v>4421</v>
          </cell>
          <cell r="N206">
            <v>4420</v>
          </cell>
          <cell r="O206">
            <v>4428</v>
          </cell>
          <cell r="P206">
            <v>4650</v>
          </cell>
          <cell r="Q206">
            <v>4701</v>
          </cell>
          <cell r="R206">
            <v>4694</v>
          </cell>
          <cell r="S206">
            <v>4682</v>
          </cell>
          <cell r="T206">
            <v>4646</v>
          </cell>
          <cell r="U206">
            <v>4644</v>
          </cell>
          <cell r="V206">
            <v>4620</v>
          </cell>
          <cell r="W206">
            <v>4630</v>
          </cell>
          <cell r="X206">
            <v>4673</v>
          </cell>
          <cell r="Y206">
            <v>4769</v>
          </cell>
          <cell r="Z206">
            <v>4790</v>
          </cell>
          <cell r="AA206">
            <v>4828</v>
          </cell>
          <cell r="AB206">
            <v>4859</v>
          </cell>
        </row>
        <row r="207">
          <cell r="C207" t="str">
            <v>Syrian Arab Republic</v>
          </cell>
          <cell r="D207">
            <v>43</v>
          </cell>
          <cell r="E207">
            <v>42</v>
          </cell>
          <cell r="F207">
            <v>44</v>
          </cell>
          <cell r="G207">
            <v>44</v>
          </cell>
          <cell r="H207">
            <v>44</v>
          </cell>
          <cell r="I207">
            <v>44</v>
          </cell>
          <cell r="J207">
            <v>63</v>
          </cell>
          <cell r="K207">
            <v>64</v>
          </cell>
          <cell r="L207">
            <v>64</v>
          </cell>
          <cell r="M207">
            <v>63</v>
          </cell>
          <cell r="N207">
            <v>66</v>
          </cell>
          <cell r="O207">
            <v>58</v>
          </cell>
          <cell r="P207">
            <v>59</v>
          </cell>
          <cell r="Q207">
            <v>62</v>
          </cell>
          <cell r="R207">
            <v>60</v>
          </cell>
          <cell r="S207">
            <v>62</v>
          </cell>
          <cell r="T207">
            <v>62</v>
          </cell>
          <cell r="U207">
            <v>62</v>
          </cell>
          <cell r="V207">
            <v>61</v>
          </cell>
          <cell r="W207">
            <v>62</v>
          </cell>
          <cell r="X207">
            <v>62</v>
          </cell>
          <cell r="Y207">
            <v>66</v>
          </cell>
          <cell r="Z207">
            <v>71</v>
          </cell>
          <cell r="AA207">
            <v>64</v>
          </cell>
          <cell r="AB207">
            <v>65</v>
          </cell>
        </row>
        <row r="208">
          <cell r="C208" t="str">
            <v>Tajikistan</v>
          </cell>
          <cell r="D208">
            <v>158</v>
          </cell>
          <cell r="E208">
            <v>162</v>
          </cell>
          <cell r="F208">
            <v>164</v>
          </cell>
          <cell r="G208">
            <v>170</v>
          </cell>
          <cell r="H208">
            <v>148</v>
          </cell>
          <cell r="I208">
            <v>162</v>
          </cell>
          <cell r="J208">
            <v>162</v>
          </cell>
          <cell r="K208">
            <v>158</v>
          </cell>
          <cell r="L208">
            <v>162</v>
          </cell>
          <cell r="M208">
            <v>161</v>
          </cell>
          <cell r="N208">
            <v>161</v>
          </cell>
          <cell r="O208">
            <v>151</v>
          </cell>
          <cell r="P208">
            <v>147</v>
          </cell>
          <cell r="Q208">
            <v>143</v>
          </cell>
          <cell r="R208">
            <v>142</v>
          </cell>
          <cell r="S208">
            <v>142</v>
          </cell>
          <cell r="T208">
            <v>136</v>
          </cell>
          <cell r="U208">
            <v>137</v>
          </cell>
          <cell r="V208">
            <v>130</v>
          </cell>
          <cell r="W208">
            <v>129</v>
          </cell>
          <cell r="X208">
            <v>115</v>
          </cell>
          <cell r="Y208">
            <v>119</v>
          </cell>
          <cell r="Z208">
            <v>118</v>
          </cell>
          <cell r="AA208">
            <v>123</v>
          </cell>
          <cell r="AB208">
            <v>120</v>
          </cell>
        </row>
        <row r="209">
          <cell r="C209" t="str">
            <v>Tanzania United Republic of</v>
          </cell>
          <cell r="D209">
            <v>4074</v>
          </cell>
          <cell r="E209">
            <v>4008</v>
          </cell>
          <cell r="F209">
            <v>3967</v>
          </cell>
          <cell r="G209">
            <v>3887</v>
          </cell>
          <cell r="H209">
            <v>3890</v>
          </cell>
          <cell r="I209">
            <v>3865</v>
          </cell>
          <cell r="J209">
            <v>3770</v>
          </cell>
          <cell r="K209">
            <v>3774</v>
          </cell>
          <cell r="L209">
            <v>3789</v>
          </cell>
          <cell r="M209">
            <v>3786</v>
          </cell>
          <cell r="N209">
            <v>3776</v>
          </cell>
          <cell r="O209">
            <v>3753</v>
          </cell>
          <cell r="P209">
            <v>3660</v>
          </cell>
          <cell r="Q209">
            <v>3649</v>
          </cell>
          <cell r="R209">
            <v>3677</v>
          </cell>
          <cell r="S209">
            <v>3663</v>
          </cell>
          <cell r="T209">
            <v>3652</v>
          </cell>
          <cell r="U209">
            <v>3653</v>
          </cell>
          <cell r="V209">
            <v>3920</v>
          </cell>
          <cell r="W209">
            <v>3791</v>
          </cell>
          <cell r="X209">
            <v>3707</v>
          </cell>
          <cell r="Y209">
            <v>3534</v>
          </cell>
          <cell r="Z209">
            <v>3550</v>
          </cell>
          <cell r="AA209">
            <v>3575</v>
          </cell>
          <cell r="AB209">
            <v>3590</v>
          </cell>
        </row>
        <row r="210">
          <cell r="C210" t="str">
            <v>Thailand</v>
          </cell>
          <cell r="D210">
            <v>10955</v>
          </cell>
          <cell r="E210">
            <v>10950</v>
          </cell>
          <cell r="F210">
            <v>11030</v>
          </cell>
          <cell r="G210">
            <v>11135</v>
          </cell>
          <cell r="H210">
            <v>11199</v>
          </cell>
          <cell r="I210">
            <v>11005</v>
          </cell>
          <cell r="J210">
            <v>10975</v>
          </cell>
          <cell r="K210">
            <v>10878</v>
          </cell>
          <cell r="L210">
            <v>10771</v>
          </cell>
          <cell r="M210">
            <v>10767</v>
          </cell>
          <cell r="N210">
            <v>10707</v>
          </cell>
          <cell r="O210">
            <v>10526</v>
          </cell>
          <cell r="P210">
            <v>10261</v>
          </cell>
          <cell r="Q210">
            <v>10366</v>
          </cell>
          <cell r="R210">
            <v>10380</v>
          </cell>
          <cell r="S210">
            <v>10285</v>
          </cell>
          <cell r="T210">
            <v>10040</v>
          </cell>
          <cell r="U210">
            <v>9873</v>
          </cell>
          <cell r="V210">
            <v>9799</v>
          </cell>
          <cell r="W210">
            <v>9731</v>
          </cell>
          <cell r="X210">
            <v>9776</v>
          </cell>
          <cell r="Y210">
            <v>9825</v>
          </cell>
          <cell r="Z210">
            <v>9877</v>
          </cell>
          <cell r="AA210">
            <v>9858</v>
          </cell>
          <cell r="AB210">
            <v>9840</v>
          </cell>
        </row>
        <row r="211">
          <cell r="C211" t="str">
            <v>Timor-leste</v>
          </cell>
          <cell r="D211">
            <v>25</v>
          </cell>
          <cell r="E211">
            <v>25</v>
          </cell>
          <cell r="F211">
            <v>25</v>
          </cell>
          <cell r="G211">
            <v>25</v>
          </cell>
          <cell r="H211">
            <v>25</v>
          </cell>
          <cell r="I211">
            <v>25</v>
          </cell>
          <cell r="J211">
            <v>25</v>
          </cell>
          <cell r="K211">
            <v>25</v>
          </cell>
          <cell r="L211">
            <v>25</v>
          </cell>
          <cell r="M211">
            <v>25</v>
          </cell>
          <cell r="N211">
            <v>25</v>
          </cell>
          <cell r="O211">
            <v>25</v>
          </cell>
          <cell r="P211">
            <v>24</v>
          </cell>
          <cell r="Q211">
            <v>24</v>
          </cell>
          <cell r="R211">
            <v>25</v>
          </cell>
          <cell r="S211">
            <v>25</v>
          </cell>
          <cell r="T211">
            <v>25</v>
          </cell>
          <cell r="U211">
            <v>26</v>
          </cell>
          <cell r="V211">
            <v>25</v>
          </cell>
          <cell r="W211">
            <v>25</v>
          </cell>
          <cell r="X211">
            <v>25</v>
          </cell>
          <cell r="Y211">
            <v>26</v>
          </cell>
          <cell r="Z211">
            <v>26</v>
          </cell>
          <cell r="AA211">
            <v>26</v>
          </cell>
          <cell r="AB211">
            <v>27</v>
          </cell>
        </row>
        <row r="212">
          <cell r="C212" t="str">
            <v>Togo</v>
          </cell>
          <cell r="D212">
            <v>177</v>
          </cell>
          <cell r="E212">
            <v>187</v>
          </cell>
          <cell r="F212">
            <v>190</v>
          </cell>
          <cell r="G212">
            <v>194</v>
          </cell>
          <cell r="H212">
            <v>183</v>
          </cell>
          <cell r="I212">
            <v>177</v>
          </cell>
          <cell r="J212">
            <v>178</v>
          </cell>
          <cell r="K212">
            <v>176</v>
          </cell>
          <cell r="L212">
            <v>184</v>
          </cell>
          <cell r="M212">
            <v>187</v>
          </cell>
          <cell r="N212">
            <v>186</v>
          </cell>
          <cell r="O212">
            <v>181</v>
          </cell>
          <cell r="P212">
            <v>185</v>
          </cell>
          <cell r="Q212">
            <v>186</v>
          </cell>
          <cell r="R212">
            <v>183</v>
          </cell>
          <cell r="S212">
            <v>186</v>
          </cell>
          <cell r="T212">
            <v>187</v>
          </cell>
          <cell r="U212">
            <v>172</v>
          </cell>
          <cell r="V212">
            <v>174</v>
          </cell>
          <cell r="W212">
            <v>171</v>
          </cell>
          <cell r="X212">
            <v>171</v>
          </cell>
          <cell r="Y212">
            <v>181</v>
          </cell>
          <cell r="Z212">
            <v>186</v>
          </cell>
          <cell r="AA212">
            <v>190</v>
          </cell>
          <cell r="AB212">
            <v>196</v>
          </cell>
        </row>
        <row r="213">
          <cell r="C213" t="str">
            <v>Tonga</v>
          </cell>
          <cell r="D213">
            <v>129</v>
          </cell>
          <cell r="E213">
            <v>129</v>
          </cell>
          <cell r="F213">
            <v>129</v>
          </cell>
          <cell r="G213">
            <v>129</v>
          </cell>
          <cell r="H213">
            <v>144</v>
          </cell>
          <cell r="I213">
            <v>144</v>
          </cell>
          <cell r="J213">
            <v>144</v>
          </cell>
          <cell r="K213">
            <v>144</v>
          </cell>
          <cell r="L213">
            <v>143</v>
          </cell>
          <cell r="M213">
            <v>145</v>
          </cell>
          <cell r="N213">
            <v>125</v>
          </cell>
          <cell r="O213">
            <v>125</v>
          </cell>
          <cell r="P213">
            <v>132</v>
          </cell>
          <cell r="Q213">
            <v>135</v>
          </cell>
          <cell r="R213">
            <v>135</v>
          </cell>
          <cell r="S213">
            <v>135</v>
          </cell>
          <cell r="T213">
            <v>108</v>
          </cell>
          <cell r="U213">
            <v>108</v>
          </cell>
          <cell r="V213">
            <v>108</v>
          </cell>
          <cell r="W213">
            <v>108</v>
          </cell>
          <cell r="X213">
            <v>111</v>
          </cell>
          <cell r="Y213">
            <v>116</v>
          </cell>
          <cell r="Z213">
            <v>116</v>
          </cell>
          <cell r="AA213">
            <v>155</v>
          </cell>
          <cell r="AB213">
            <v>157</v>
          </cell>
        </row>
        <row r="214">
          <cell r="C214" t="str">
            <v>Trinidad and Tobago</v>
          </cell>
          <cell r="D214">
            <v>594</v>
          </cell>
          <cell r="E214">
            <v>593</v>
          </cell>
          <cell r="F214">
            <v>589</v>
          </cell>
          <cell r="G214">
            <v>589</v>
          </cell>
          <cell r="H214">
            <v>586</v>
          </cell>
          <cell r="I214">
            <v>588</v>
          </cell>
          <cell r="J214">
            <v>591</v>
          </cell>
          <cell r="K214">
            <v>598</v>
          </cell>
          <cell r="L214">
            <v>613</v>
          </cell>
          <cell r="M214">
            <v>597</v>
          </cell>
          <cell r="N214">
            <v>589</v>
          </cell>
          <cell r="O214">
            <v>585</v>
          </cell>
          <cell r="P214">
            <v>585</v>
          </cell>
          <cell r="Q214">
            <v>588</v>
          </cell>
          <cell r="R214">
            <v>605</v>
          </cell>
          <cell r="S214">
            <v>678</v>
          </cell>
          <cell r="T214">
            <v>661</v>
          </cell>
          <cell r="U214">
            <v>667</v>
          </cell>
          <cell r="V214">
            <v>651</v>
          </cell>
          <cell r="W214">
            <v>665</v>
          </cell>
          <cell r="X214">
            <v>647</v>
          </cell>
          <cell r="Y214">
            <v>665</v>
          </cell>
          <cell r="Z214">
            <v>655</v>
          </cell>
          <cell r="AA214">
            <v>675</v>
          </cell>
          <cell r="AB214">
            <v>666</v>
          </cell>
        </row>
        <row r="215">
          <cell r="C215" t="str">
            <v>Tunisia</v>
          </cell>
          <cell r="D215">
            <v>669</v>
          </cell>
          <cell r="E215">
            <v>636</v>
          </cell>
          <cell r="F215">
            <v>630</v>
          </cell>
          <cell r="G215">
            <v>658</v>
          </cell>
          <cell r="H215">
            <v>654</v>
          </cell>
          <cell r="I215">
            <v>678</v>
          </cell>
          <cell r="J215">
            <v>675</v>
          </cell>
          <cell r="K215">
            <v>677</v>
          </cell>
          <cell r="L215">
            <v>700</v>
          </cell>
          <cell r="M215">
            <v>728</v>
          </cell>
          <cell r="N215">
            <v>702</v>
          </cell>
          <cell r="O215">
            <v>699</v>
          </cell>
          <cell r="P215">
            <v>737</v>
          </cell>
          <cell r="Q215">
            <v>814</v>
          </cell>
          <cell r="R215">
            <v>820</v>
          </cell>
          <cell r="S215">
            <v>852</v>
          </cell>
          <cell r="T215">
            <v>856</v>
          </cell>
          <cell r="U215">
            <v>754</v>
          </cell>
          <cell r="V215">
            <v>698</v>
          </cell>
          <cell r="W215">
            <v>738</v>
          </cell>
          <cell r="X215">
            <v>778</v>
          </cell>
          <cell r="Y215">
            <v>850</v>
          </cell>
          <cell r="Z215">
            <v>929</v>
          </cell>
          <cell r="AA215">
            <v>940</v>
          </cell>
          <cell r="AB215">
            <v>950</v>
          </cell>
        </row>
        <row r="216">
          <cell r="C216" t="str">
            <v>Turkey</v>
          </cell>
          <cell r="D216">
            <v>10573</v>
          </cell>
          <cell r="E216">
            <v>10748</v>
          </cell>
          <cell r="F216">
            <v>10759</v>
          </cell>
          <cell r="G216">
            <v>10841</v>
          </cell>
          <cell r="H216">
            <v>10668</v>
          </cell>
          <cell r="I216">
            <v>10620</v>
          </cell>
          <cell r="J216">
            <v>10616</v>
          </cell>
          <cell r="K216">
            <v>10457</v>
          </cell>
          <cell r="L216">
            <v>10626</v>
          </cell>
          <cell r="M216">
            <v>10651</v>
          </cell>
          <cell r="N216">
            <v>10709</v>
          </cell>
          <cell r="O216">
            <v>10864</v>
          </cell>
          <cell r="P216">
            <v>10105</v>
          </cell>
          <cell r="Q216">
            <v>10422</v>
          </cell>
          <cell r="R216">
            <v>11436</v>
          </cell>
          <cell r="S216">
            <v>11856</v>
          </cell>
          <cell r="T216">
            <v>12078</v>
          </cell>
          <cell r="U216">
            <v>11668</v>
          </cell>
          <cell r="V216">
            <v>11408</v>
          </cell>
          <cell r="W216">
            <v>11876</v>
          </cell>
          <cell r="X216">
            <v>12740</v>
          </cell>
          <cell r="Y216">
            <v>13121</v>
          </cell>
          <cell r="Z216">
            <v>13683</v>
          </cell>
          <cell r="AA216">
            <v>13678</v>
          </cell>
          <cell r="AB216">
            <v>13889</v>
          </cell>
        </row>
        <row r="217">
          <cell r="C217" t="str">
            <v>Turkmenistan</v>
          </cell>
          <cell r="D217">
            <v>306</v>
          </cell>
          <cell r="E217">
            <v>305</v>
          </cell>
          <cell r="F217">
            <v>310</v>
          </cell>
          <cell r="G217">
            <v>303</v>
          </cell>
          <cell r="H217">
            <v>295</v>
          </cell>
          <cell r="I217">
            <v>294</v>
          </cell>
          <cell r="J217">
            <v>294</v>
          </cell>
          <cell r="K217">
            <v>293</v>
          </cell>
          <cell r="L217">
            <v>300</v>
          </cell>
          <cell r="M217">
            <v>291</v>
          </cell>
          <cell r="N217">
            <v>295</v>
          </cell>
          <cell r="O217">
            <v>291</v>
          </cell>
          <cell r="P217">
            <v>286</v>
          </cell>
          <cell r="Q217">
            <v>288</v>
          </cell>
          <cell r="R217">
            <v>290</v>
          </cell>
          <cell r="S217">
            <v>290</v>
          </cell>
          <cell r="T217">
            <v>291</v>
          </cell>
          <cell r="U217">
            <v>291</v>
          </cell>
          <cell r="V217">
            <v>288</v>
          </cell>
          <cell r="W217">
            <v>288</v>
          </cell>
          <cell r="X217">
            <v>311</v>
          </cell>
          <cell r="Y217">
            <v>316</v>
          </cell>
          <cell r="Z217">
            <v>314</v>
          </cell>
          <cell r="AA217">
            <v>321</v>
          </cell>
          <cell r="AB217">
            <v>320</v>
          </cell>
        </row>
        <row r="218">
          <cell r="C218" t="str">
            <v>Turks and Caicos Islands</v>
          </cell>
          <cell r="D218">
            <v>341</v>
          </cell>
          <cell r="E218">
            <v>339</v>
          </cell>
          <cell r="F218">
            <v>339</v>
          </cell>
          <cell r="G218">
            <v>340</v>
          </cell>
          <cell r="H218">
            <v>340</v>
          </cell>
          <cell r="I218">
            <v>352</v>
          </cell>
          <cell r="J218">
            <v>356</v>
          </cell>
          <cell r="K218">
            <v>354</v>
          </cell>
          <cell r="L218">
            <v>354</v>
          </cell>
          <cell r="M218">
            <v>365</v>
          </cell>
          <cell r="N218">
            <v>355</v>
          </cell>
          <cell r="O218">
            <v>355</v>
          </cell>
          <cell r="P218">
            <v>344</v>
          </cell>
          <cell r="Q218">
            <v>345</v>
          </cell>
          <cell r="R218">
            <v>346</v>
          </cell>
          <cell r="S218">
            <v>356</v>
          </cell>
          <cell r="T218">
            <v>329</v>
          </cell>
          <cell r="U218">
            <v>323</v>
          </cell>
          <cell r="V218">
            <v>322</v>
          </cell>
          <cell r="W218">
            <v>322</v>
          </cell>
          <cell r="X218">
            <v>318</v>
          </cell>
          <cell r="Y218">
            <v>312</v>
          </cell>
          <cell r="Z218">
            <v>312</v>
          </cell>
          <cell r="AA218">
            <v>313</v>
          </cell>
          <cell r="AB218">
            <v>340</v>
          </cell>
        </row>
        <row r="219">
          <cell r="C219" t="str">
            <v>Tuvalu</v>
          </cell>
          <cell r="D219">
            <v>4</v>
          </cell>
          <cell r="E219">
            <v>4</v>
          </cell>
          <cell r="F219">
            <v>4</v>
          </cell>
          <cell r="G219">
            <v>4</v>
          </cell>
          <cell r="H219">
            <v>4</v>
          </cell>
          <cell r="I219">
            <v>4</v>
          </cell>
          <cell r="J219">
            <v>4</v>
          </cell>
          <cell r="K219">
            <v>4</v>
          </cell>
          <cell r="L219">
            <v>4</v>
          </cell>
          <cell r="M219">
            <v>4</v>
          </cell>
          <cell r="N219">
            <v>4</v>
          </cell>
          <cell r="O219">
            <v>4</v>
          </cell>
          <cell r="P219">
            <v>4</v>
          </cell>
          <cell r="Q219">
            <v>4</v>
          </cell>
          <cell r="R219">
            <v>4</v>
          </cell>
          <cell r="S219">
            <v>4</v>
          </cell>
          <cell r="T219">
            <v>4</v>
          </cell>
          <cell r="U219">
            <v>4</v>
          </cell>
          <cell r="V219">
            <v>4</v>
          </cell>
          <cell r="W219">
            <v>4</v>
          </cell>
          <cell r="X219">
            <v>4</v>
          </cell>
          <cell r="Y219">
            <v>4</v>
          </cell>
          <cell r="Z219">
            <v>4</v>
          </cell>
          <cell r="AA219">
            <v>4</v>
          </cell>
          <cell r="AB219">
            <v>4</v>
          </cell>
        </row>
        <row r="220">
          <cell r="C220" t="str">
            <v>Uganda</v>
          </cell>
          <cell r="D220">
            <v>389</v>
          </cell>
          <cell r="E220">
            <v>383</v>
          </cell>
          <cell r="F220">
            <v>377</v>
          </cell>
          <cell r="G220">
            <v>374</v>
          </cell>
          <cell r="H220">
            <v>363</v>
          </cell>
          <cell r="I220">
            <v>367</v>
          </cell>
          <cell r="J220">
            <v>366</v>
          </cell>
          <cell r="K220">
            <v>367</v>
          </cell>
          <cell r="L220">
            <v>366</v>
          </cell>
          <cell r="M220">
            <v>366</v>
          </cell>
          <cell r="N220">
            <v>362</v>
          </cell>
          <cell r="O220">
            <v>363</v>
          </cell>
          <cell r="P220">
            <v>357</v>
          </cell>
          <cell r="Q220">
            <v>364</v>
          </cell>
          <cell r="R220">
            <v>361</v>
          </cell>
          <cell r="S220">
            <v>364</v>
          </cell>
          <cell r="T220">
            <v>363</v>
          </cell>
          <cell r="U220">
            <v>363</v>
          </cell>
          <cell r="V220">
            <v>369</v>
          </cell>
          <cell r="W220">
            <v>356</v>
          </cell>
          <cell r="X220">
            <v>392</v>
          </cell>
          <cell r="Y220">
            <v>452</v>
          </cell>
          <cell r="Z220">
            <v>452</v>
          </cell>
          <cell r="AA220">
            <v>456</v>
          </cell>
          <cell r="AB220">
            <v>455</v>
          </cell>
        </row>
        <row r="221">
          <cell r="C221" t="str">
            <v>Ukraine</v>
          </cell>
          <cell r="D221">
            <v>1637</v>
          </cell>
          <cell r="E221">
            <v>1584</v>
          </cell>
          <cell r="F221">
            <v>1546</v>
          </cell>
          <cell r="G221">
            <v>1498</v>
          </cell>
          <cell r="H221">
            <v>1486</v>
          </cell>
          <cell r="I221">
            <v>1474</v>
          </cell>
          <cell r="J221">
            <v>1485</v>
          </cell>
          <cell r="K221">
            <v>1480</v>
          </cell>
          <cell r="L221">
            <v>1502</v>
          </cell>
          <cell r="M221">
            <v>1504</v>
          </cell>
          <cell r="N221">
            <v>1508</v>
          </cell>
          <cell r="O221">
            <v>1522</v>
          </cell>
          <cell r="P221">
            <v>1675</v>
          </cell>
          <cell r="Q221">
            <v>1686</v>
          </cell>
          <cell r="R221">
            <v>1705</v>
          </cell>
          <cell r="S221">
            <v>1754</v>
          </cell>
          <cell r="T221">
            <v>1833</v>
          </cell>
          <cell r="U221">
            <v>1832</v>
          </cell>
          <cell r="V221">
            <v>1787</v>
          </cell>
          <cell r="W221">
            <v>1817</v>
          </cell>
          <cell r="X221">
            <v>1914</v>
          </cell>
          <cell r="Y221">
            <v>2069</v>
          </cell>
          <cell r="Z221">
            <v>2165</v>
          </cell>
          <cell r="AA221">
            <v>2258</v>
          </cell>
          <cell r="AB221">
            <v>2299</v>
          </cell>
        </row>
        <row r="222">
          <cell r="C222" t="str">
            <v>United Arab Emirates</v>
          </cell>
          <cell r="D222">
            <v>6067</v>
          </cell>
          <cell r="E222">
            <v>5918</v>
          </cell>
          <cell r="F222">
            <v>5874</v>
          </cell>
          <cell r="G222">
            <v>5871</v>
          </cell>
          <cell r="H222">
            <v>5836</v>
          </cell>
          <cell r="I222">
            <v>5824</v>
          </cell>
          <cell r="J222">
            <v>5855</v>
          </cell>
          <cell r="K222">
            <v>5858</v>
          </cell>
          <cell r="L222">
            <v>5848</v>
          </cell>
          <cell r="M222">
            <v>5841</v>
          </cell>
          <cell r="N222">
            <v>5857</v>
          </cell>
          <cell r="O222">
            <v>5706</v>
          </cell>
          <cell r="P222">
            <v>5671</v>
          </cell>
          <cell r="Q222">
            <v>5660</v>
          </cell>
          <cell r="R222">
            <v>5102</v>
          </cell>
          <cell r="S222">
            <v>5028</v>
          </cell>
          <cell r="T222">
            <v>4968</v>
          </cell>
          <cell r="U222">
            <v>4872</v>
          </cell>
          <cell r="V222">
            <v>4805</v>
          </cell>
          <cell r="W222">
            <v>4787</v>
          </cell>
          <cell r="X222">
            <v>5223</v>
          </cell>
          <cell r="Y222">
            <v>5694</v>
          </cell>
          <cell r="Z222">
            <v>5631</v>
          </cell>
          <cell r="AA222">
            <v>5639</v>
          </cell>
          <cell r="AB222">
            <v>5721</v>
          </cell>
        </row>
        <row r="223">
          <cell r="C223" t="str">
            <v>United Kingdom</v>
          </cell>
          <cell r="D223">
            <v>17933</v>
          </cell>
          <cell r="E223">
            <v>17711</v>
          </cell>
          <cell r="F223">
            <v>17836</v>
          </cell>
          <cell r="G223">
            <v>18203</v>
          </cell>
          <cell r="H223">
            <v>18698</v>
          </cell>
          <cell r="I223">
            <v>19333</v>
          </cell>
          <cell r="J223">
            <v>19581</v>
          </cell>
          <cell r="K223">
            <v>19372</v>
          </cell>
          <cell r="L223">
            <v>19520</v>
          </cell>
          <cell r="M223">
            <v>19600</v>
          </cell>
          <cell r="N223">
            <v>19443</v>
          </cell>
          <cell r="O223">
            <v>19629</v>
          </cell>
          <cell r="P223">
            <v>21568</v>
          </cell>
          <cell r="Q223">
            <v>21872</v>
          </cell>
          <cell r="R223">
            <v>21604</v>
          </cell>
          <cell r="S223">
            <v>21636</v>
          </cell>
          <cell r="T223">
            <v>22479</v>
          </cell>
          <cell r="U223">
            <v>22661</v>
          </cell>
          <cell r="V223">
            <v>23014</v>
          </cell>
          <cell r="W223">
            <v>23366</v>
          </cell>
          <cell r="X223">
            <v>23688</v>
          </cell>
          <cell r="Y223">
            <v>23956</v>
          </cell>
          <cell r="Z223">
            <v>23995</v>
          </cell>
          <cell r="AA223">
            <v>23865</v>
          </cell>
          <cell r="AB223">
            <v>23961</v>
          </cell>
        </row>
        <row r="224">
          <cell r="C224" t="str">
            <v>Uruguay</v>
          </cell>
          <cell r="D224">
            <v>268</v>
          </cell>
          <cell r="E224">
            <v>266</v>
          </cell>
          <cell r="F224">
            <v>261</v>
          </cell>
          <cell r="G224">
            <v>261</v>
          </cell>
          <cell r="H224">
            <v>247</v>
          </cell>
          <cell r="I224">
            <v>244</v>
          </cell>
          <cell r="J224">
            <v>235</v>
          </cell>
          <cell r="K224">
            <v>227</v>
          </cell>
          <cell r="L224">
            <v>210</v>
          </cell>
          <cell r="M224">
            <v>187</v>
          </cell>
          <cell r="N224">
            <v>182</v>
          </cell>
          <cell r="O224">
            <v>169</v>
          </cell>
          <cell r="P224">
            <v>174</v>
          </cell>
          <cell r="Q224">
            <v>190</v>
          </cell>
          <cell r="R224">
            <v>180</v>
          </cell>
          <cell r="S224">
            <v>177</v>
          </cell>
          <cell r="T224">
            <v>174</v>
          </cell>
          <cell r="U224">
            <v>172</v>
          </cell>
          <cell r="V224">
            <v>172</v>
          </cell>
          <cell r="W224">
            <v>171</v>
          </cell>
          <cell r="X224">
            <v>172</v>
          </cell>
          <cell r="Y224">
            <v>172</v>
          </cell>
          <cell r="Z224">
            <v>176</v>
          </cell>
          <cell r="AA224">
            <v>180</v>
          </cell>
          <cell r="AB224">
            <v>177</v>
          </cell>
        </row>
        <row r="225">
          <cell r="C225" t="str">
            <v>USA</v>
          </cell>
          <cell r="D225">
            <v>218070</v>
          </cell>
          <cell r="E225">
            <v>214262</v>
          </cell>
          <cell r="F225">
            <v>216577</v>
          </cell>
          <cell r="G225">
            <v>213778</v>
          </cell>
          <cell r="H225">
            <v>217272</v>
          </cell>
          <cell r="I225">
            <v>218831</v>
          </cell>
          <cell r="J225">
            <v>224524</v>
          </cell>
          <cell r="K225">
            <v>226780</v>
          </cell>
          <cell r="L225">
            <v>235765</v>
          </cell>
          <cell r="M225">
            <v>239663</v>
          </cell>
          <cell r="N225">
            <v>239077</v>
          </cell>
          <cell r="O225">
            <v>238824</v>
          </cell>
          <cell r="P225">
            <v>238423</v>
          </cell>
          <cell r="Q225">
            <v>237149</v>
          </cell>
          <cell r="R225">
            <v>235512</v>
          </cell>
          <cell r="S225">
            <v>237132</v>
          </cell>
          <cell r="T225">
            <v>238291</v>
          </cell>
          <cell r="U225">
            <v>239612</v>
          </cell>
          <cell r="V225">
            <v>241516</v>
          </cell>
          <cell r="W225">
            <v>233854</v>
          </cell>
          <cell r="X225">
            <v>239253</v>
          </cell>
          <cell r="Y225">
            <v>245454</v>
          </cell>
          <cell r="Z225">
            <v>248567</v>
          </cell>
          <cell r="AA225">
            <v>249252</v>
          </cell>
          <cell r="AB225">
            <v>248830</v>
          </cell>
        </row>
        <row r="226">
          <cell r="C226" t="str">
            <v>Uzbekistan</v>
          </cell>
          <cell r="D226">
            <v>423</v>
          </cell>
          <cell r="E226">
            <v>425</v>
          </cell>
          <cell r="F226">
            <v>430</v>
          </cell>
          <cell r="G226">
            <v>417</v>
          </cell>
          <cell r="H226">
            <v>411</v>
          </cell>
          <cell r="I226">
            <v>411</v>
          </cell>
          <cell r="J226">
            <v>412</v>
          </cell>
          <cell r="K226">
            <v>413</v>
          </cell>
          <cell r="L226">
            <v>424</v>
          </cell>
          <cell r="M226">
            <v>428</v>
          </cell>
          <cell r="N226">
            <v>436</v>
          </cell>
          <cell r="O226">
            <v>429</v>
          </cell>
          <cell r="P226">
            <v>446</v>
          </cell>
          <cell r="Q226">
            <v>451</v>
          </cell>
          <cell r="R226">
            <v>468</v>
          </cell>
          <cell r="S226">
            <v>485</v>
          </cell>
          <cell r="T226">
            <v>476</v>
          </cell>
          <cell r="U226">
            <v>464</v>
          </cell>
          <cell r="V226">
            <v>459</v>
          </cell>
          <cell r="W226">
            <v>462</v>
          </cell>
          <cell r="X226">
            <v>454</v>
          </cell>
          <cell r="Y226">
            <v>452</v>
          </cell>
          <cell r="Z226">
            <v>438</v>
          </cell>
          <cell r="AA226">
            <v>434</v>
          </cell>
          <cell r="AB226">
            <v>436</v>
          </cell>
        </row>
        <row r="227">
          <cell r="C227" t="str">
            <v>Vanuatu</v>
          </cell>
          <cell r="D227">
            <v>328</v>
          </cell>
          <cell r="E227">
            <v>316</v>
          </cell>
          <cell r="F227">
            <v>317</v>
          </cell>
          <cell r="G227">
            <v>326</v>
          </cell>
          <cell r="H227">
            <v>303</v>
          </cell>
          <cell r="I227">
            <v>301</v>
          </cell>
          <cell r="J227">
            <v>303</v>
          </cell>
          <cell r="K227">
            <v>311</v>
          </cell>
          <cell r="L227">
            <v>290</v>
          </cell>
          <cell r="M227">
            <v>293</v>
          </cell>
          <cell r="N227">
            <v>305</v>
          </cell>
          <cell r="O227">
            <v>304</v>
          </cell>
          <cell r="P227">
            <v>301</v>
          </cell>
          <cell r="Q227">
            <v>303</v>
          </cell>
          <cell r="R227">
            <v>306</v>
          </cell>
          <cell r="S227">
            <v>331</v>
          </cell>
          <cell r="T227">
            <v>302</v>
          </cell>
          <cell r="U227">
            <v>314</v>
          </cell>
          <cell r="V227">
            <v>304</v>
          </cell>
          <cell r="W227">
            <v>305</v>
          </cell>
          <cell r="X227">
            <v>289</v>
          </cell>
          <cell r="Y227">
            <v>337</v>
          </cell>
          <cell r="Z227">
            <v>333</v>
          </cell>
          <cell r="AA227">
            <v>340</v>
          </cell>
          <cell r="AB227">
            <v>355</v>
          </cell>
        </row>
        <row r="228">
          <cell r="C228" t="str">
            <v>Venezuela</v>
          </cell>
          <cell r="D228">
            <v>689</v>
          </cell>
          <cell r="E228">
            <v>699</v>
          </cell>
          <cell r="F228">
            <v>693</v>
          </cell>
          <cell r="G228">
            <v>611</v>
          </cell>
          <cell r="H228">
            <v>653</v>
          </cell>
          <cell r="I228">
            <v>646</v>
          </cell>
          <cell r="J228">
            <v>645</v>
          </cell>
          <cell r="K228">
            <v>586</v>
          </cell>
          <cell r="L228">
            <v>643</v>
          </cell>
          <cell r="M228">
            <v>645</v>
          </cell>
          <cell r="N228">
            <v>635</v>
          </cell>
          <cell r="O228">
            <v>621</v>
          </cell>
          <cell r="P228">
            <v>575</v>
          </cell>
          <cell r="Q228">
            <v>566</v>
          </cell>
          <cell r="R228">
            <v>566</v>
          </cell>
          <cell r="S228">
            <v>566</v>
          </cell>
          <cell r="T228">
            <v>583</v>
          </cell>
          <cell r="U228">
            <v>585</v>
          </cell>
          <cell r="V228">
            <v>592</v>
          </cell>
          <cell r="W228">
            <v>590</v>
          </cell>
          <cell r="X228">
            <v>595</v>
          </cell>
          <cell r="Y228">
            <v>596</v>
          </cell>
          <cell r="Z228">
            <v>592</v>
          </cell>
          <cell r="AA228">
            <v>590</v>
          </cell>
          <cell r="AB228">
            <v>593</v>
          </cell>
        </row>
        <row r="229">
          <cell r="C229" t="str">
            <v>Viet Nam</v>
          </cell>
          <cell r="D229">
            <v>6083</v>
          </cell>
          <cell r="E229">
            <v>6113</v>
          </cell>
          <cell r="F229">
            <v>6272</v>
          </cell>
          <cell r="G229">
            <v>6351</v>
          </cell>
          <cell r="H229">
            <v>6736</v>
          </cell>
          <cell r="I229">
            <v>6754</v>
          </cell>
          <cell r="J229">
            <v>6583</v>
          </cell>
          <cell r="K229">
            <v>6557</v>
          </cell>
          <cell r="L229">
            <v>6645</v>
          </cell>
          <cell r="M229">
            <v>6664</v>
          </cell>
          <cell r="N229">
            <v>6657</v>
          </cell>
          <cell r="O229">
            <v>6594</v>
          </cell>
          <cell r="P229">
            <v>6798</v>
          </cell>
          <cell r="Q229">
            <v>6787</v>
          </cell>
          <cell r="R229">
            <v>6827</v>
          </cell>
          <cell r="S229">
            <v>6955</v>
          </cell>
          <cell r="T229">
            <v>6864</v>
          </cell>
          <cell r="U229">
            <v>6631</v>
          </cell>
          <cell r="V229">
            <v>6785</v>
          </cell>
          <cell r="W229">
            <v>6950</v>
          </cell>
          <cell r="X229">
            <v>7086</v>
          </cell>
          <cell r="Y229">
            <v>7418</v>
          </cell>
          <cell r="Z229">
            <v>7588</v>
          </cell>
          <cell r="AA229">
            <v>7614</v>
          </cell>
          <cell r="AB229">
            <v>7713</v>
          </cell>
        </row>
        <row r="230">
          <cell r="C230" t="str">
            <v>Virgin Islands, British</v>
          </cell>
          <cell r="D230">
            <v>448</v>
          </cell>
          <cell r="E230">
            <v>446</v>
          </cell>
          <cell r="F230">
            <v>454</v>
          </cell>
          <cell r="G230">
            <v>450</v>
          </cell>
          <cell r="H230">
            <v>453</v>
          </cell>
          <cell r="I230">
            <v>454</v>
          </cell>
          <cell r="J230">
            <v>453</v>
          </cell>
          <cell r="K230">
            <v>456</v>
          </cell>
          <cell r="L230">
            <v>460</v>
          </cell>
          <cell r="M230">
            <v>456</v>
          </cell>
          <cell r="N230">
            <v>457</v>
          </cell>
          <cell r="O230">
            <v>460</v>
          </cell>
          <cell r="P230">
            <v>338</v>
          </cell>
          <cell r="Q230">
            <v>476</v>
          </cell>
          <cell r="R230">
            <v>486</v>
          </cell>
          <cell r="S230">
            <v>483</v>
          </cell>
          <cell r="T230">
            <v>481</v>
          </cell>
          <cell r="U230">
            <v>480</v>
          </cell>
          <cell r="V230">
            <v>477</v>
          </cell>
          <cell r="W230">
            <v>477</v>
          </cell>
          <cell r="X230">
            <v>475</v>
          </cell>
          <cell r="Y230">
            <v>475</v>
          </cell>
          <cell r="Z230">
            <v>468</v>
          </cell>
          <cell r="AA230">
            <v>461</v>
          </cell>
          <cell r="AB230">
            <v>465</v>
          </cell>
        </row>
        <row r="231">
          <cell r="C231" t="str">
            <v>Virgin Islands, US</v>
          </cell>
          <cell r="D231">
            <v>673</v>
          </cell>
          <cell r="E231">
            <v>689</v>
          </cell>
          <cell r="F231">
            <v>677</v>
          </cell>
          <cell r="G231">
            <v>671</v>
          </cell>
          <cell r="H231">
            <v>684</v>
          </cell>
          <cell r="I231">
            <v>695</v>
          </cell>
          <cell r="J231">
            <v>701</v>
          </cell>
          <cell r="K231">
            <v>688</v>
          </cell>
          <cell r="L231">
            <v>641</v>
          </cell>
          <cell r="M231">
            <v>642</v>
          </cell>
          <cell r="N231">
            <v>689</v>
          </cell>
          <cell r="O231">
            <v>636</v>
          </cell>
          <cell r="P231">
            <v>600</v>
          </cell>
          <cell r="Q231">
            <v>635</v>
          </cell>
          <cell r="R231">
            <v>641</v>
          </cell>
          <cell r="S231">
            <v>649</v>
          </cell>
          <cell r="T231">
            <v>698</v>
          </cell>
          <cell r="U231">
            <v>598</v>
          </cell>
          <cell r="V231">
            <v>584</v>
          </cell>
          <cell r="W231">
            <v>585</v>
          </cell>
          <cell r="X231">
            <v>580</v>
          </cell>
          <cell r="Y231">
            <v>584</v>
          </cell>
          <cell r="Z231">
            <v>593</v>
          </cell>
          <cell r="AA231">
            <v>595</v>
          </cell>
          <cell r="AB231">
            <v>596</v>
          </cell>
        </row>
        <row r="232">
          <cell r="C232" t="str">
            <v>Wallis and Futuna Islands</v>
          </cell>
          <cell r="D232">
            <v>28</v>
          </cell>
          <cell r="E232">
            <v>32</v>
          </cell>
          <cell r="F232">
            <v>28</v>
          </cell>
          <cell r="G232">
            <v>28</v>
          </cell>
          <cell r="H232">
            <v>56</v>
          </cell>
          <cell r="I232">
            <v>28</v>
          </cell>
          <cell r="J232">
            <v>23</v>
          </cell>
          <cell r="K232">
            <v>23</v>
          </cell>
          <cell r="L232">
            <v>31</v>
          </cell>
          <cell r="M232">
            <v>23</v>
          </cell>
          <cell r="N232">
            <v>30</v>
          </cell>
          <cell r="O232">
            <v>51</v>
          </cell>
          <cell r="P232">
            <v>36</v>
          </cell>
          <cell r="Q232">
            <v>36</v>
          </cell>
          <cell r="R232">
            <v>36</v>
          </cell>
          <cell r="S232">
            <v>21</v>
          </cell>
          <cell r="T232">
            <v>23</v>
          </cell>
          <cell r="U232">
            <v>25</v>
          </cell>
          <cell r="V232">
            <v>23</v>
          </cell>
          <cell r="W232">
            <v>23</v>
          </cell>
          <cell r="X232">
            <v>29</v>
          </cell>
          <cell r="Y232">
            <v>51</v>
          </cell>
          <cell r="Z232">
            <v>30</v>
          </cell>
          <cell r="AA232">
            <v>51</v>
          </cell>
          <cell r="AB232">
            <v>30</v>
          </cell>
        </row>
        <row r="233">
          <cell r="C233" t="str">
            <v>Yemen</v>
          </cell>
          <cell r="D233">
            <v>12</v>
          </cell>
          <cell r="E233">
            <v>12</v>
          </cell>
          <cell r="F233">
            <v>12</v>
          </cell>
          <cell r="G233">
            <v>12</v>
          </cell>
          <cell r="H233">
            <v>14</v>
          </cell>
          <cell r="I233">
            <v>11</v>
          </cell>
          <cell r="J233">
            <v>11</v>
          </cell>
          <cell r="K233">
            <v>11</v>
          </cell>
          <cell r="L233">
            <v>11</v>
          </cell>
          <cell r="M233">
            <v>11</v>
          </cell>
          <cell r="N233">
            <v>11</v>
          </cell>
          <cell r="O233">
            <v>6</v>
          </cell>
          <cell r="P233">
            <v>9</v>
          </cell>
          <cell r="Q233">
            <v>9</v>
          </cell>
          <cell r="R233">
            <v>9</v>
          </cell>
          <cell r="S233">
            <v>9</v>
          </cell>
          <cell r="T233">
            <v>9</v>
          </cell>
          <cell r="U233">
            <v>9</v>
          </cell>
          <cell r="V233">
            <v>9</v>
          </cell>
          <cell r="W233">
            <v>9</v>
          </cell>
          <cell r="X233">
            <v>12</v>
          </cell>
          <cell r="Y233">
            <v>10</v>
          </cell>
          <cell r="Z233">
            <v>10</v>
          </cell>
          <cell r="AA233">
            <v>10</v>
          </cell>
          <cell r="AB233">
            <v>10</v>
          </cell>
        </row>
        <row r="234">
          <cell r="C234" t="str">
            <v>Zambia</v>
          </cell>
          <cell r="D234">
            <v>345</v>
          </cell>
          <cell r="E234">
            <v>342</v>
          </cell>
          <cell r="F234">
            <v>337</v>
          </cell>
          <cell r="G234">
            <v>341</v>
          </cell>
          <cell r="H234">
            <v>342</v>
          </cell>
          <cell r="I234">
            <v>347</v>
          </cell>
          <cell r="J234">
            <v>357</v>
          </cell>
          <cell r="K234">
            <v>367</v>
          </cell>
          <cell r="L234">
            <v>355</v>
          </cell>
          <cell r="M234">
            <v>357</v>
          </cell>
          <cell r="N234">
            <v>338</v>
          </cell>
          <cell r="O234">
            <v>346</v>
          </cell>
          <cell r="P234">
            <v>376</v>
          </cell>
          <cell r="Q234">
            <v>387</v>
          </cell>
          <cell r="R234">
            <v>382</v>
          </cell>
          <cell r="S234">
            <v>362</v>
          </cell>
          <cell r="T234">
            <v>373</v>
          </cell>
          <cell r="U234">
            <v>387</v>
          </cell>
          <cell r="V234">
            <v>390</v>
          </cell>
          <cell r="W234">
            <v>402</v>
          </cell>
          <cell r="X234">
            <v>433</v>
          </cell>
          <cell r="Y234">
            <v>453</v>
          </cell>
          <cell r="Z234">
            <v>468</v>
          </cell>
          <cell r="AA234">
            <v>461</v>
          </cell>
          <cell r="AB234">
            <v>475</v>
          </cell>
        </row>
        <row r="235">
          <cell r="C235" t="str">
            <v>Zimbabwe</v>
          </cell>
          <cell r="D235">
            <v>308</v>
          </cell>
          <cell r="E235">
            <v>299</v>
          </cell>
          <cell r="F235">
            <v>295</v>
          </cell>
          <cell r="G235">
            <v>299</v>
          </cell>
          <cell r="H235">
            <v>293</v>
          </cell>
          <cell r="I235">
            <v>295</v>
          </cell>
          <cell r="J235">
            <v>291</v>
          </cell>
          <cell r="K235">
            <v>291</v>
          </cell>
          <cell r="L235">
            <v>294</v>
          </cell>
          <cell r="M235">
            <v>294</v>
          </cell>
          <cell r="N235">
            <v>290</v>
          </cell>
          <cell r="O235">
            <v>303</v>
          </cell>
          <cell r="P235">
            <v>321</v>
          </cell>
          <cell r="Q235">
            <v>319</v>
          </cell>
          <cell r="R235">
            <v>324</v>
          </cell>
          <cell r="S235">
            <v>325</v>
          </cell>
          <cell r="T235">
            <v>306</v>
          </cell>
          <cell r="U235">
            <v>305</v>
          </cell>
          <cell r="V235">
            <v>326</v>
          </cell>
          <cell r="W235">
            <v>313</v>
          </cell>
          <cell r="X235">
            <v>313</v>
          </cell>
          <cell r="Y235">
            <v>314</v>
          </cell>
          <cell r="Z235">
            <v>313</v>
          </cell>
          <cell r="AA235">
            <v>307</v>
          </cell>
          <cell r="AB235">
            <v>305</v>
          </cell>
        </row>
        <row r="236">
          <cell r="C236" t="str">
            <v>Grand Total</v>
          </cell>
          <cell r="D236">
            <v>802822</v>
          </cell>
          <cell r="E236">
            <v>796800</v>
          </cell>
          <cell r="F236">
            <v>802615</v>
          </cell>
          <cell r="G236">
            <v>804614</v>
          </cell>
          <cell r="H236">
            <v>804014</v>
          </cell>
          <cell r="I236">
            <v>812924</v>
          </cell>
          <cell r="J236">
            <v>815986</v>
          </cell>
          <cell r="K236">
            <v>817506</v>
          </cell>
          <cell r="L236">
            <v>822043</v>
          </cell>
          <cell r="M236">
            <v>826516</v>
          </cell>
          <cell r="N236">
            <v>822084</v>
          </cell>
          <cell r="O236">
            <v>819387</v>
          </cell>
          <cell r="P236">
            <v>836372</v>
          </cell>
          <cell r="Q236">
            <v>841411</v>
          </cell>
          <cell r="R236">
            <v>834146</v>
          </cell>
          <cell r="S236">
            <v>843338</v>
          </cell>
          <cell r="T236">
            <v>843491</v>
          </cell>
          <cell r="U236">
            <v>843421</v>
          </cell>
          <cell r="V236">
            <v>845209</v>
          </cell>
          <cell r="W236">
            <v>842531</v>
          </cell>
          <cell r="X236">
            <v>853978</v>
          </cell>
          <cell r="Y236">
            <v>869555</v>
          </cell>
          <cell r="Z236">
            <v>881663</v>
          </cell>
          <cell r="AA236">
            <v>880513</v>
          </cell>
          <cell r="AB236">
            <v>886563</v>
          </cell>
        </row>
      </sheetData>
      <sheetData sheetId="7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11">
          <cell r="K11">
            <v>-7.9269575922427449E-2</v>
          </cell>
          <cell r="L11">
            <v>-0.10084136302261537</v>
          </cell>
          <cell r="M11">
            <v>-0.12388636684329091</v>
          </cell>
          <cell r="N11">
            <v>-0.28713050121615302</v>
          </cell>
          <cell r="O11">
            <v>-0.47658577762048471</v>
          </cell>
          <cell r="P11">
            <v>-0.5918391844176033</v>
          </cell>
          <cell r="Q11">
            <v>-0.64944026585274039</v>
          </cell>
          <cell r="R11">
            <v>-0.67158482126976371</v>
          </cell>
          <cell r="S11">
            <v>-0.66833789572147184</v>
          </cell>
          <cell r="T11">
            <v>-0.69921190010682688</v>
          </cell>
        </row>
      </sheetData>
      <sheetData sheetId="8">
        <row r="6">
          <cell r="L6">
            <v>9</v>
          </cell>
          <cell r="M6">
            <v>10</v>
          </cell>
          <cell r="N6">
            <v>11</v>
          </cell>
          <cell r="O6">
            <v>12</v>
          </cell>
          <cell r="P6">
            <v>13</v>
          </cell>
          <cell r="Q6">
            <v>14</v>
          </cell>
          <cell r="R6">
            <v>15</v>
          </cell>
          <cell r="S6">
            <v>16</v>
          </cell>
          <cell r="T6">
            <v>17</v>
          </cell>
          <cell r="U6">
            <v>18</v>
          </cell>
        </row>
        <row r="7">
          <cell r="C7" t="str">
            <v>Afghanistan</v>
          </cell>
          <cell r="D7">
            <v>-3.8314176245210718E-2</v>
          </cell>
          <cell r="E7">
            <v>-1.9305019305019266E-2</v>
          </cell>
          <cell r="F7">
            <v>-1.171875E-2</v>
          </cell>
          <cell r="G7">
            <v>-7.011070110701112E-2</v>
          </cell>
          <cell r="H7">
            <v>5.8139534883721034E-2</v>
          </cell>
          <cell r="I7">
            <v>-1.0830324909747335E-2</v>
          </cell>
          <cell r="J7">
            <v>1.8587360594795488E-2</v>
          </cell>
          <cell r="K7">
            <v>-3.9145907473309594E-2</v>
          </cell>
          <cell r="L7">
            <v>-3.1914893617021267E-2</v>
          </cell>
          <cell r="M7">
            <v>7.0422535211267512E-3</v>
          </cell>
          <cell r="N7">
            <v>-3.6496350364963459E-2</v>
          </cell>
          <cell r="O7">
            <v>-7.7220077220077177E-2</v>
          </cell>
          <cell r="P7">
            <v>-0.23021582733812951</v>
          </cell>
          <cell r="Q7">
            <v>-0.43060498220640564</v>
          </cell>
          <cell r="R7">
            <v>-0.51056338028169013</v>
          </cell>
          <cell r="S7">
            <v>-0.5</v>
          </cell>
          <cell r="T7">
            <v>-0.43295019157088122</v>
          </cell>
          <cell r="U7">
            <v>-0.56485355648535562</v>
          </cell>
          <cell r="V7">
            <v>-0.41255605381165916</v>
          </cell>
          <cell r="W7">
            <v>-0.2863070539419087</v>
          </cell>
          <cell r="X7">
            <v>-0.18473895582329314</v>
          </cell>
          <cell r="Y7">
            <v>0.43062200956937802</v>
          </cell>
          <cell r="Z7">
            <v>0.15444015444015435</v>
          </cell>
          <cell r="AA7">
            <v>0.1283018867924528</v>
          </cell>
          <cell r="AB7">
            <v>-9.9999999999999978E-2</v>
          </cell>
        </row>
        <row r="8">
          <cell r="C8" t="str">
            <v>Albania</v>
          </cell>
          <cell r="D8">
            <v>5.555555555555558E-2</v>
          </cell>
          <cell r="E8">
            <v>9.5477386934673447E-2</v>
          </cell>
          <cell r="F8">
            <v>-0.16176470588235292</v>
          </cell>
          <cell r="G8">
            <v>-0.16097560975609759</v>
          </cell>
          <cell r="H8">
            <v>-0.15686274509803921</v>
          </cell>
          <cell r="I8">
            <v>-0.12621359223300976</v>
          </cell>
          <cell r="J8">
            <v>-0.11764705882352944</v>
          </cell>
          <cell r="K8">
            <v>-0.11822660098522164</v>
          </cell>
          <cell r="L8">
            <v>-0.10552763819095479</v>
          </cell>
          <cell r="M8">
            <v>-0.12121212121212122</v>
          </cell>
          <cell r="N8">
            <v>-0.36734693877551017</v>
          </cell>
          <cell r="O8">
            <v>-0.63350785340314131</v>
          </cell>
          <cell r="P8">
            <v>-0.64601769911504425</v>
          </cell>
          <cell r="Q8">
            <v>-0.66375545851528384</v>
          </cell>
          <cell r="R8">
            <v>-0.62295081967213117</v>
          </cell>
          <cell r="S8">
            <v>-0.77651515151515149</v>
          </cell>
          <cell r="T8">
            <v>-0.71755725190839692</v>
          </cell>
          <cell r="U8">
            <v>-0.67932489451476785</v>
          </cell>
          <cell r="V8">
            <v>-0.64406779661016955</v>
          </cell>
          <cell r="W8">
            <v>-0.56837606837606836</v>
          </cell>
          <cell r="X8">
            <v>-0.58400000000000007</v>
          </cell>
          <cell r="Y8">
            <v>-0.13157894736842102</v>
          </cell>
          <cell r="Z8">
            <v>-8.1481481481481488E-2</v>
          </cell>
          <cell r="AA8">
            <v>-4.7101449275362306E-2</v>
          </cell>
          <cell r="AB8">
            <v>-0.20945945945945943</v>
          </cell>
        </row>
        <row r="9">
          <cell r="C9" t="str">
            <v>Algeria</v>
          </cell>
          <cell r="D9">
            <v>-5.352112676056342E-2</v>
          </cell>
          <cell r="E9">
            <v>-5.6068133427963129E-2</v>
          </cell>
          <cell r="F9">
            <v>-3.8211968276856578E-2</v>
          </cell>
          <cell r="G9">
            <v>-3.4682080924855474E-2</v>
          </cell>
          <cell r="H9">
            <v>-4.1007194244604306E-2</v>
          </cell>
          <cell r="I9">
            <v>-4.4191019244476104E-2</v>
          </cell>
          <cell r="J9">
            <v>-6.2720225510923155E-2</v>
          </cell>
          <cell r="K9">
            <v>-6.6992323796231656E-2</v>
          </cell>
          <cell r="L9">
            <v>-4.7552447552447585E-2</v>
          </cell>
          <cell r="M9">
            <v>-6.9655172413793154E-2</v>
          </cell>
          <cell r="N9">
            <v>-0.19393939393939397</v>
          </cell>
          <cell r="O9">
            <v>-0.73621772505233773</v>
          </cell>
          <cell r="P9">
            <v>-0.79577944179714089</v>
          </cell>
          <cell r="Q9">
            <v>-0.91850828729281764</v>
          </cell>
          <cell r="R9">
            <v>-0.93222683264177042</v>
          </cell>
          <cell r="S9">
            <v>-0.92812715964063575</v>
          </cell>
          <cell r="T9">
            <v>-0.62525879917184257</v>
          </cell>
          <cell r="U9">
            <v>-0.87991266375545851</v>
          </cell>
          <cell r="V9">
            <v>-0.74503574265289907</v>
          </cell>
          <cell r="W9">
            <v>-0.3849802371541502</v>
          </cell>
          <cell r="X9">
            <v>-0.34061488673139162</v>
          </cell>
          <cell r="Y9">
            <v>-5.7584269662921295E-2</v>
          </cell>
          <cell r="Z9">
            <v>-4.9723756906077332E-2</v>
          </cell>
          <cell r="AA9">
            <v>-8.7306917394224248E-3</v>
          </cell>
          <cell r="AB9">
            <v>-0.13306719893546237</v>
          </cell>
        </row>
        <row r="10">
          <cell r="C10" t="str">
            <v>American Samoa</v>
          </cell>
          <cell r="D10">
            <v>-0.33333333333333337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-0.5</v>
          </cell>
          <cell r="Q10">
            <v>-1</v>
          </cell>
          <cell r="R10">
            <v>-1</v>
          </cell>
          <cell r="S10">
            <v>-1</v>
          </cell>
          <cell r="T10">
            <v>-1</v>
          </cell>
          <cell r="U10">
            <v>-1</v>
          </cell>
          <cell r="V10">
            <v>-1</v>
          </cell>
          <cell r="W10">
            <v>-1</v>
          </cell>
          <cell r="X10">
            <v>-1</v>
          </cell>
          <cell r="Y10">
            <v>0.5</v>
          </cell>
          <cell r="Z10">
            <v>0</v>
          </cell>
          <cell r="AA10">
            <v>0</v>
          </cell>
          <cell r="AB10">
            <v>0</v>
          </cell>
        </row>
        <row r="11">
          <cell r="C11" t="str">
            <v>Angola</v>
          </cell>
          <cell r="D11">
            <v>-0.27671232876712326</v>
          </cell>
          <cell r="E11">
            <v>-0.27731092436974791</v>
          </cell>
          <cell r="F11">
            <v>-0.25072886297376096</v>
          </cell>
          <cell r="G11">
            <v>-0.28169014084507038</v>
          </cell>
          <cell r="H11">
            <v>-0.27762039660056659</v>
          </cell>
          <cell r="I11">
            <v>-0.32162162162162167</v>
          </cell>
          <cell r="J11">
            <v>-0.32162162162162167</v>
          </cell>
          <cell r="K11">
            <v>-0.31351351351351353</v>
          </cell>
          <cell r="L11">
            <v>-0.3262032085561497</v>
          </cell>
          <cell r="M11">
            <v>-0.35215053763440862</v>
          </cell>
          <cell r="N11">
            <v>-0.3512064343163539</v>
          </cell>
          <cell r="O11">
            <v>-0.61185983827493262</v>
          </cell>
          <cell r="P11">
            <v>-0.92391304347826086</v>
          </cell>
          <cell r="Q11">
            <v>-0.98351648351648346</v>
          </cell>
          <cell r="R11">
            <v>-0.97777777777777775</v>
          </cell>
          <cell r="S11">
            <v>-0.92054794520547945</v>
          </cell>
          <cell r="T11">
            <v>-0.86532951289398286</v>
          </cell>
          <cell r="U11">
            <v>-0.96935933147632314</v>
          </cell>
          <cell r="V11">
            <v>-0.95821727019498604</v>
          </cell>
          <cell r="W11">
            <v>-0.91184573002754821</v>
          </cell>
          <cell r="X11">
            <v>-0.90581717451523547</v>
          </cell>
          <cell r="Y11">
            <v>-0.445983379501385</v>
          </cell>
          <cell r="Z11">
            <v>-0.44166666666666665</v>
          </cell>
          <cell r="AA11">
            <v>-0.43611111111111112</v>
          </cell>
          <cell r="AB11">
            <v>-0.53888888888888886</v>
          </cell>
        </row>
        <row r="12">
          <cell r="C12" t="str">
            <v>Anguilla, Leeward Islands</v>
          </cell>
          <cell r="D12">
            <v>4.3956043956044022E-2</v>
          </cell>
          <cell r="E12">
            <v>4.3956043956044022E-2</v>
          </cell>
          <cell r="F12">
            <v>4.3956043956044022E-2</v>
          </cell>
          <cell r="G12">
            <v>-1.098901098901095E-2</v>
          </cell>
          <cell r="H12">
            <v>-4.3010752688172005E-2</v>
          </cell>
          <cell r="I12">
            <v>-2.1978021978022011E-2</v>
          </cell>
          <cell r="J12">
            <v>-3.2608695652173947E-2</v>
          </cell>
          <cell r="K12">
            <v>-2.1978021978022011E-2</v>
          </cell>
          <cell r="L12">
            <v>-1.098901098901095E-2</v>
          </cell>
          <cell r="M12">
            <v>0</v>
          </cell>
          <cell r="N12">
            <v>-2.3255813953488413E-2</v>
          </cell>
          <cell r="O12">
            <v>-1.1764705882352899E-2</v>
          </cell>
          <cell r="P12">
            <v>-1.1764705882352899E-2</v>
          </cell>
          <cell r="Q12">
            <v>8.3333333333333259E-2</v>
          </cell>
          <cell r="R12">
            <v>9.5238095238095344E-2</v>
          </cell>
          <cell r="S12">
            <v>7.3170731707317138E-2</v>
          </cell>
          <cell r="T12">
            <v>6.1728395061728447E-2</v>
          </cell>
          <cell r="U12">
            <v>-2.4691358024691357E-2</v>
          </cell>
          <cell r="V12">
            <v>-1.2345679012345734E-2</v>
          </cell>
          <cell r="W12">
            <v>0</v>
          </cell>
          <cell r="X12">
            <v>0</v>
          </cell>
          <cell r="Y12">
            <v>3.7037037037036979E-2</v>
          </cell>
          <cell r="Z12">
            <v>6.1728395061728447E-2</v>
          </cell>
          <cell r="AA12">
            <v>6.1728395061728447E-2</v>
          </cell>
          <cell r="AB12">
            <v>-9.8765432098765427E-2</v>
          </cell>
        </row>
        <row r="13">
          <cell r="C13" t="str">
            <v>Antigua and Barbuda, Leeward Islands</v>
          </cell>
          <cell r="D13">
            <v>-4.4117647058823484E-2</v>
          </cell>
          <cell r="E13">
            <v>-4.4280442804428E-2</v>
          </cell>
          <cell r="F13">
            <v>-4.4776119402985093E-2</v>
          </cell>
          <cell r="G13">
            <v>-3.7453183520599231E-2</v>
          </cell>
          <cell r="H13">
            <v>-4.4117647058823484E-2</v>
          </cell>
          <cell r="I13">
            <v>-5.0724637681159424E-2</v>
          </cell>
          <cell r="J13">
            <v>-3.3210332103321027E-2</v>
          </cell>
          <cell r="K13">
            <v>-4.4117647058823484E-2</v>
          </cell>
          <cell r="L13">
            <v>-5.1282051282051322E-2</v>
          </cell>
          <cell r="M13">
            <v>-4.014598540145986E-2</v>
          </cell>
          <cell r="N13">
            <v>-3.2608695652173947E-2</v>
          </cell>
          <cell r="O13">
            <v>-0.24621212121212122</v>
          </cell>
          <cell r="P13">
            <v>-0.29365079365079361</v>
          </cell>
          <cell r="Q13">
            <v>-0.39147286821705429</v>
          </cell>
          <cell r="R13">
            <v>-0.75</v>
          </cell>
          <cell r="S13">
            <v>-0.49416342412451364</v>
          </cell>
          <cell r="T13">
            <v>-0.80478087649402386</v>
          </cell>
          <cell r="U13">
            <v>-0.79838709677419351</v>
          </cell>
          <cell r="V13">
            <v>-0.55060728744939269</v>
          </cell>
          <cell r="W13">
            <v>-0.25819672131147542</v>
          </cell>
          <cell r="X13">
            <v>-0.24489795918367352</v>
          </cell>
          <cell r="Y13">
            <v>-0.14814814814814814</v>
          </cell>
          <cell r="Z13">
            <v>-8.2304526748971152E-2</v>
          </cell>
          <cell r="AA13">
            <v>-8.9430894308943132E-2</v>
          </cell>
          <cell r="AB13">
            <v>-0.20833333333333337</v>
          </cell>
        </row>
        <row r="14">
          <cell r="C14" t="str">
            <v>Argentina</v>
          </cell>
          <cell r="D14">
            <v>-0.10919952210274786</v>
          </cell>
          <cell r="E14">
            <v>-0.11134954697186461</v>
          </cell>
          <cell r="F14">
            <v>-0.11360381861575175</v>
          </cell>
          <cell r="G14">
            <v>-0.11105769230769236</v>
          </cell>
          <cell r="H14">
            <v>-0.11475808412351085</v>
          </cell>
          <cell r="I14">
            <v>-0.10536681437715412</v>
          </cell>
          <cell r="J14">
            <v>-8.8044022011005474E-2</v>
          </cell>
          <cell r="K14">
            <v>-8.5613858900326356E-2</v>
          </cell>
          <cell r="L14">
            <v>-0.13293502613890962</v>
          </cell>
          <cell r="M14">
            <v>-0.10292607802874743</v>
          </cell>
          <cell r="N14">
            <v>-9.9277978339350148E-2</v>
          </cell>
          <cell r="O14">
            <v>-0.5872635225153211</v>
          </cell>
          <cell r="P14">
            <v>-0.84177927927927931</v>
          </cell>
          <cell r="Q14">
            <v>-0.92331723942061916</v>
          </cell>
          <cell r="R14">
            <v>-0.90870307167235498</v>
          </cell>
          <cell r="S14">
            <v>-0.94576944917660422</v>
          </cell>
          <cell r="T14">
            <v>-0.83089526038619077</v>
          </cell>
          <cell r="U14">
            <v>-0.90711805555555558</v>
          </cell>
          <cell r="V14">
            <v>-0.68833430063842138</v>
          </cell>
          <cell r="W14">
            <v>-0.67721518987341778</v>
          </cell>
          <cell r="X14">
            <v>-0.66695702671312429</v>
          </cell>
          <cell r="Y14">
            <v>-0.47847877358490565</v>
          </cell>
          <cell r="Z14">
            <v>-0.47297297297297303</v>
          </cell>
          <cell r="AA14">
            <v>-0.46744525547445259</v>
          </cell>
          <cell r="AB14">
            <v>-0.52677787532923614</v>
          </cell>
        </row>
        <row r="15">
          <cell r="C15" t="str">
            <v>Armenia</v>
          </cell>
          <cell r="D15">
            <v>0.15418502202643181</v>
          </cell>
          <cell r="E15">
            <v>0.26395939086294407</v>
          </cell>
          <cell r="F15">
            <v>0.268041237113402</v>
          </cell>
          <cell r="G15">
            <v>0.26455026455026465</v>
          </cell>
          <cell r="H15">
            <v>0.24468085106382986</v>
          </cell>
          <cell r="I15">
            <v>0.23809523809523814</v>
          </cell>
          <cell r="J15">
            <v>0.27513227513227512</v>
          </cell>
          <cell r="K15">
            <v>0.25396825396825395</v>
          </cell>
          <cell r="L15">
            <v>0.27225130890052363</v>
          </cell>
          <cell r="M15">
            <v>0.24742268041237114</v>
          </cell>
          <cell r="N15">
            <v>0.17010309278350522</v>
          </cell>
          <cell r="O15">
            <v>-0.20942408376963351</v>
          </cell>
          <cell r="P15">
            <v>-0.32777777777777772</v>
          </cell>
          <cell r="Q15">
            <v>-0.64864864864864868</v>
          </cell>
          <cell r="R15">
            <v>-0.6216216216216216</v>
          </cell>
          <cell r="S15">
            <v>-0.62051282051282053</v>
          </cell>
          <cell r="T15">
            <v>-0.58208955223880599</v>
          </cell>
          <cell r="U15">
            <v>-0.61928934010152292</v>
          </cell>
          <cell r="V15">
            <v>-0.54187192118226601</v>
          </cell>
          <cell r="W15">
            <v>-0.49268292682926829</v>
          </cell>
          <cell r="X15">
            <v>-0.49302325581395345</v>
          </cell>
          <cell r="Y15">
            <v>0.10569105691056913</v>
          </cell>
          <cell r="Z15">
            <v>0.17142857142857149</v>
          </cell>
          <cell r="AA15">
            <v>0.17338709677419351</v>
          </cell>
          <cell r="AB15">
            <v>0</v>
          </cell>
        </row>
        <row r="16">
          <cell r="C16" t="str">
            <v>Aruba</v>
          </cell>
          <cell r="D16">
            <v>-0.11501597444089462</v>
          </cell>
          <cell r="E16">
            <v>-0.14423076923076927</v>
          </cell>
          <cell r="F16">
            <v>-0.1326860841423948</v>
          </cell>
          <cell r="G16">
            <v>-0.13961038961038963</v>
          </cell>
          <cell r="H16">
            <v>-8.0139372822299659E-2</v>
          </cell>
          <cell r="I16">
            <v>-0.10561056105610556</v>
          </cell>
          <cell r="J16">
            <v>-6.6006600660066028E-2</v>
          </cell>
          <cell r="K16">
            <v>0</v>
          </cell>
          <cell r="L16">
            <v>7.1174377224199059E-3</v>
          </cell>
          <cell r="M16">
            <v>-7.0671378091873294E-3</v>
          </cell>
          <cell r="N16">
            <v>7.1174377224199059E-3</v>
          </cell>
          <cell r="O16">
            <v>-0.52158273381294962</v>
          </cell>
          <cell r="P16">
            <v>-0.70220588235294112</v>
          </cell>
          <cell r="Q16">
            <v>-0.70895522388059695</v>
          </cell>
          <cell r="R16">
            <v>-0.7592592592592593</v>
          </cell>
          <cell r="S16">
            <v>-0.76727272727272733</v>
          </cell>
          <cell r="T16">
            <v>-0.77906976744186052</v>
          </cell>
          <cell r="U16">
            <v>-0.82661290322580649</v>
          </cell>
          <cell r="V16">
            <v>-0.81349206349206349</v>
          </cell>
          <cell r="W16">
            <v>-0.82857142857142851</v>
          </cell>
          <cell r="X16">
            <v>-0.82078853046594979</v>
          </cell>
          <cell r="Y16">
            <v>-0.54104477611940305</v>
          </cell>
          <cell r="Z16">
            <v>-0.51470588235294112</v>
          </cell>
          <cell r="AA16">
            <v>-0.52631578947368429</v>
          </cell>
          <cell r="AB16">
            <v>-0.56293706293706292</v>
          </cell>
        </row>
        <row r="17">
          <cell r="C17" t="str">
            <v>Australia</v>
          </cell>
          <cell r="D17">
            <v>-3.3708646093967176E-2</v>
          </cell>
          <cell r="E17">
            <v>-3.3614020675018841E-2</v>
          </cell>
          <cell r="F17">
            <v>-3.1983527796842881E-2</v>
          </cell>
          <cell r="G17">
            <v>-3.863328822733425E-2</v>
          </cell>
          <cell r="H17">
            <v>-3.6063160711896192E-2</v>
          </cell>
          <cell r="I17">
            <v>-4.9803320221348035E-2</v>
          </cell>
          <cell r="J17">
            <v>-1.652121777363269E-2</v>
          </cell>
          <cell r="K17">
            <v>-2.4595597984619411E-2</v>
          </cell>
          <cell r="L17">
            <v>-1.7339492535314971E-2</v>
          </cell>
          <cell r="M17">
            <v>-2.3305225416639042E-2</v>
          </cell>
          <cell r="N17">
            <v>-2.8789893617021223E-2</v>
          </cell>
          <cell r="O17">
            <v>-0.15914022240303771</v>
          </cell>
          <cell r="P17">
            <v>-0.63134891729024567</v>
          </cell>
          <cell r="Q17">
            <v>-0.78056002574831029</v>
          </cell>
          <cell r="R17">
            <v>-0.84635187317932392</v>
          </cell>
          <cell r="S17">
            <v>-0.83708814418473665</v>
          </cell>
          <cell r="T17">
            <v>-0.84354731965585705</v>
          </cell>
          <cell r="U17">
            <v>-0.83005174383441971</v>
          </cell>
          <cell r="V17">
            <v>-0.82147141143542579</v>
          </cell>
          <cell r="W17">
            <v>-0.82141424943189412</v>
          </cell>
          <cell r="X17">
            <v>-0.81336653654596847</v>
          </cell>
          <cell r="Y17">
            <v>-0.68187039664842219</v>
          </cell>
          <cell r="Z17">
            <v>-0.56785905680600213</v>
          </cell>
          <cell r="AA17">
            <v>-0.21630593546673749</v>
          </cell>
          <cell r="AB17">
            <v>-0.30597063199430752</v>
          </cell>
        </row>
        <row r="18">
          <cell r="C18" t="str">
            <v>Austria</v>
          </cell>
          <cell r="D18">
            <v>4.2944785276073594E-2</v>
          </cell>
          <cell r="E18">
            <v>4.0360501567398011E-2</v>
          </cell>
          <cell r="F18">
            <v>4.508036064288512E-2</v>
          </cell>
          <cell r="G18">
            <v>4.2088854247856577E-2</v>
          </cell>
          <cell r="H18">
            <v>3.840245775729656E-2</v>
          </cell>
          <cell r="I18">
            <v>4.0029928918817737E-2</v>
          </cell>
          <cell r="J18">
            <v>2.8404952658412252E-2</v>
          </cell>
          <cell r="K18">
            <v>1.4978601997146956E-2</v>
          </cell>
          <cell r="L18">
            <v>1.3565217391304341E-2</v>
          </cell>
          <cell r="M18">
            <v>-5.2152607630381542E-2</v>
          </cell>
          <cell r="N18">
            <v>-0.19471488178025032</v>
          </cell>
          <cell r="O18">
            <v>-0.7441860465116279</v>
          </cell>
          <cell r="P18">
            <v>-0.90389696169088507</v>
          </cell>
          <cell r="Q18">
            <v>-0.91342988808426595</v>
          </cell>
          <cell r="R18">
            <v>-0.92057026476578407</v>
          </cell>
          <cell r="S18">
            <v>-0.94925785295132892</v>
          </cell>
          <cell r="T18">
            <v>-0.91799861014593465</v>
          </cell>
          <cell r="U18">
            <v>-0.89122928176795579</v>
          </cell>
          <cell r="V18">
            <v>-0.87824010914051842</v>
          </cell>
          <cell r="W18">
            <v>-0.82225969645868469</v>
          </cell>
          <cell r="X18">
            <v>-0.80980392156862746</v>
          </cell>
          <cell r="Y18">
            <v>-4.7529706066291477E-2</v>
          </cell>
          <cell r="Z18">
            <v>-4.8034934497816595E-2</v>
          </cell>
          <cell r="AA18">
            <v>-1.5423355366698144E-2</v>
          </cell>
          <cell r="AB18">
            <v>-0.1653300431832202</v>
          </cell>
        </row>
        <row r="19">
          <cell r="C19" t="str">
            <v>Azerbaijan</v>
          </cell>
          <cell r="D19">
            <v>7.5144508670520249E-2</v>
          </cell>
          <cell r="E19">
            <v>0.11280487804878048</v>
          </cell>
          <cell r="F19">
            <v>0.10344827586206895</v>
          </cell>
          <cell r="G19">
            <v>0.1270903010033444</v>
          </cell>
          <cell r="H19">
            <v>0.14184397163120566</v>
          </cell>
          <cell r="I19">
            <v>0.12720848056537104</v>
          </cell>
          <cell r="J19">
            <v>0.10801393728222997</v>
          </cell>
          <cell r="K19">
            <v>8.2781456953642474E-2</v>
          </cell>
          <cell r="L19">
            <v>1.8237082066869359E-2</v>
          </cell>
          <cell r="M19">
            <v>-7.5801749271137031E-2</v>
          </cell>
          <cell r="N19">
            <v>-0.13445378151260501</v>
          </cell>
          <cell r="O19">
            <v>-0.68347338935574231</v>
          </cell>
          <cell r="P19">
            <v>-0.78510028653295127</v>
          </cell>
          <cell r="Q19">
            <v>-0.75792507204610948</v>
          </cell>
          <cell r="R19">
            <v>-0.70893371757925072</v>
          </cell>
          <cell r="S19">
            <v>-0.64857142857142858</v>
          </cell>
          <cell r="T19">
            <v>-0.6</v>
          </cell>
          <cell r="U19">
            <v>-0.43604651162790697</v>
          </cell>
          <cell r="V19">
            <v>-0.42241379310344829</v>
          </cell>
          <cell r="W19">
            <v>-0.3380281690140845</v>
          </cell>
          <cell r="X19">
            <v>-0.26433915211970072</v>
          </cell>
          <cell r="Y19">
            <v>-1.6129032258064502E-2</v>
          </cell>
          <cell r="Z19">
            <v>6.8027210884353817E-3</v>
          </cell>
          <cell r="AA19">
            <v>-6.5502183406113135E-3</v>
          </cell>
          <cell r="AB19">
            <v>-0.14978902953586493</v>
          </cell>
        </row>
        <row r="20">
          <cell r="C20" t="str">
            <v>Bahamas</v>
          </cell>
          <cell r="D20">
            <v>-3.9860139860139809E-2</v>
          </cell>
          <cell r="E20">
            <v>-6.7454798331015309E-2</v>
          </cell>
          <cell r="F20">
            <v>-6.597222222222221E-2</v>
          </cell>
          <cell r="G20">
            <v>-6.7501739735560173E-2</v>
          </cell>
          <cell r="H20">
            <v>-6.9896193771626258E-2</v>
          </cell>
          <cell r="I20">
            <v>-6.5737051792828738E-2</v>
          </cell>
          <cell r="J20">
            <v>-6.6580478345184213E-2</v>
          </cell>
          <cell r="K20">
            <v>-7.0108349267049119E-2</v>
          </cell>
          <cell r="L20">
            <v>-0.12537855844942458</v>
          </cell>
          <cell r="M20">
            <v>-0.1089351285189718</v>
          </cell>
          <cell r="N20">
            <v>-0.1089351285189718</v>
          </cell>
          <cell r="O20">
            <v>-0.12093308778391654</v>
          </cell>
          <cell r="P20">
            <v>-0.21213979153893314</v>
          </cell>
          <cell r="Q20">
            <v>-0.28247549019607843</v>
          </cell>
          <cell r="R20">
            <v>-0.61970149253731344</v>
          </cell>
          <cell r="S20">
            <v>-0.65043988269794717</v>
          </cell>
          <cell r="T20">
            <v>-0.63597560975609757</v>
          </cell>
          <cell r="U20">
            <v>-0.62988220706757603</v>
          </cell>
          <cell r="V20">
            <v>-0.62802231866088043</v>
          </cell>
          <cell r="W20">
            <v>-0.62779156327543428</v>
          </cell>
          <cell r="X20">
            <v>-0.62802231866088043</v>
          </cell>
          <cell r="Y20">
            <v>-0.55602923264311821</v>
          </cell>
          <cell r="Z20">
            <v>-0.50366300366300365</v>
          </cell>
          <cell r="AA20">
            <v>-0.49044978434996922</v>
          </cell>
          <cell r="AB20">
            <v>-0.56607252612169634</v>
          </cell>
        </row>
        <row r="21">
          <cell r="C21" t="str">
            <v>Bahrain</v>
          </cell>
          <cell r="D21">
            <v>8.5365853658536661E-3</v>
          </cell>
          <cell r="E21">
            <v>1.1002444987775029E-2</v>
          </cell>
          <cell r="F21">
            <v>-2.5423728813559365E-2</v>
          </cell>
          <cell r="G21">
            <v>-1.9583843329253336E-2</v>
          </cell>
          <cell r="H21">
            <v>6.273525721455453E-3</v>
          </cell>
          <cell r="I21">
            <v>7.5000000000000622E-3</v>
          </cell>
          <cell r="J21">
            <v>1.6189290161892966E-2</v>
          </cell>
          <cell r="K21">
            <v>5.031446540880502E-3</v>
          </cell>
          <cell r="L21">
            <v>2.2727272727272707E-2</v>
          </cell>
          <cell r="M21">
            <v>-0.15609137055837563</v>
          </cell>
          <cell r="N21">
            <v>-0.41318124207858054</v>
          </cell>
          <cell r="O21">
            <v>-0.77820512820512822</v>
          </cell>
          <cell r="P21">
            <v>-0.87770700636942678</v>
          </cell>
          <cell r="Q21">
            <v>-0.9175126903553299</v>
          </cell>
          <cell r="R21">
            <v>-0.53298835705045278</v>
          </cell>
          <cell r="S21">
            <v>-0.27979274611398963</v>
          </cell>
          <cell r="T21">
            <v>-0.74388674388674381</v>
          </cell>
          <cell r="U21">
            <v>-0.30487804878048785</v>
          </cell>
          <cell r="V21">
            <v>-0.16734693877551021</v>
          </cell>
          <cell r="W21">
            <v>-9.7826086956521729E-2</v>
          </cell>
          <cell r="X21">
            <v>-0.1182519280205655</v>
          </cell>
          <cell r="Y21">
            <v>-9.2137592137592095E-2</v>
          </cell>
          <cell r="Z21">
            <v>-8.7912087912087933E-2</v>
          </cell>
          <cell r="AA21">
            <v>-0.10191846522781778</v>
          </cell>
          <cell r="AB21">
            <v>-0.21540312876052947</v>
          </cell>
        </row>
        <row r="22">
          <cell r="C22" t="str">
            <v>Bangladesh</v>
          </cell>
          <cell r="D22">
            <v>-1.655629139072845E-2</v>
          </cell>
          <cell r="E22">
            <v>-2.4967148488830526E-2</v>
          </cell>
          <cell r="F22">
            <v>-2.2397891963109373E-2</v>
          </cell>
          <cell r="G22">
            <v>-1.3981358189081194E-2</v>
          </cell>
          <cell r="H22">
            <v>-1.0020040080160331E-2</v>
          </cell>
          <cell r="I22">
            <v>-1.4656895403064585E-2</v>
          </cell>
          <cell r="J22">
            <v>3.3112582781456901E-2</v>
          </cell>
          <cell r="K22">
            <v>3.1788079470198571E-2</v>
          </cell>
          <cell r="L22">
            <v>2.847682119205297E-2</v>
          </cell>
          <cell r="M22">
            <v>2.720637027206374E-2</v>
          </cell>
          <cell r="N22">
            <v>1.534356237491652E-2</v>
          </cell>
          <cell r="O22">
            <v>-9.0057636887608039E-2</v>
          </cell>
          <cell r="P22">
            <v>-1.3731825525040375E-2</v>
          </cell>
          <cell r="Q22">
            <v>-0.21434327155519739</v>
          </cell>
          <cell r="R22">
            <v>-9.1497975708502044E-2</v>
          </cell>
          <cell r="S22">
            <v>-0.21788617886178863</v>
          </cell>
          <cell r="T22">
            <v>-0.31951219512195117</v>
          </cell>
          <cell r="U22">
            <v>-0.30537459283387625</v>
          </cell>
          <cell r="V22">
            <v>5.2716950527169404E-2</v>
          </cell>
          <cell r="W22">
            <v>0.25020177562550439</v>
          </cell>
          <cell r="X22">
            <v>0.25525040387722142</v>
          </cell>
          <cell r="Y22">
            <v>0.30341540905480535</v>
          </cell>
          <cell r="Z22">
            <v>0.31519999999999992</v>
          </cell>
          <cell r="AA22">
            <v>0.33009708737864085</v>
          </cell>
          <cell r="AB22">
            <v>0.14805825242718451</v>
          </cell>
        </row>
        <row r="23">
          <cell r="C23" t="str">
            <v>Barbados</v>
          </cell>
          <cell r="D23">
            <v>-4.7761194029850795E-2</v>
          </cell>
          <cell r="E23">
            <v>-4.1916167664670656E-2</v>
          </cell>
          <cell r="F23">
            <v>-5.1515151515151514E-2</v>
          </cell>
          <cell r="G23">
            <v>-7.71513353115727E-2</v>
          </cell>
          <cell r="H23">
            <v>-6.325301204819278E-2</v>
          </cell>
          <cell r="I23">
            <v>-5.3571428571428603E-2</v>
          </cell>
          <cell r="J23">
            <v>-2.68656716417911E-2</v>
          </cell>
          <cell r="K23">
            <v>-1.4836795252225476E-2</v>
          </cell>
          <cell r="L23">
            <v>-3.0120481927710885E-2</v>
          </cell>
          <cell r="M23">
            <v>-3.3033033033033066E-2</v>
          </cell>
          <cell r="N23">
            <v>3.1746031746031633E-3</v>
          </cell>
          <cell r="O23">
            <v>-0.13782051282051277</v>
          </cell>
          <cell r="P23">
            <v>-0.30897009966777411</v>
          </cell>
          <cell r="Q23">
            <v>-0.51324503311258285</v>
          </cell>
          <cell r="R23">
            <v>-0.90397350993377479</v>
          </cell>
          <cell r="S23">
            <v>-0.65780730897009965</v>
          </cell>
          <cell r="T23">
            <v>-0.95189003436426112</v>
          </cell>
          <cell r="U23">
            <v>-0.89752650176678439</v>
          </cell>
          <cell r="V23">
            <v>-0.58657243816254412</v>
          </cell>
          <cell r="W23">
            <v>-0.26501766784452296</v>
          </cell>
          <cell r="X23">
            <v>-0.22695035460992907</v>
          </cell>
          <cell r="Y23">
            <v>-0.20486111111111116</v>
          </cell>
          <cell r="Z23">
            <v>-0.14089347079037806</v>
          </cell>
          <cell r="AA23">
            <v>-0.10069444444444442</v>
          </cell>
          <cell r="AB23">
            <v>-0.22068965517241379</v>
          </cell>
        </row>
        <row r="24">
          <cell r="C24" t="str">
            <v>Belarus</v>
          </cell>
          <cell r="D24">
            <v>6.8027210884353817E-2</v>
          </cell>
          <cell r="E24">
            <v>3.9170506912442393E-2</v>
          </cell>
          <cell r="F24">
            <v>2.5229357798165042E-2</v>
          </cell>
          <cell r="G24">
            <v>3.009259259259256E-2</v>
          </cell>
          <cell r="H24">
            <v>4.20560747663552E-2</v>
          </cell>
          <cell r="I24">
            <v>3.2482598607888713E-2</v>
          </cell>
          <cell r="J24">
            <v>3.0516431924882736E-2</v>
          </cell>
          <cell r="K24">
            <v>3.7647058823529367E-2</v>
          </cell>
          <cell r="L24">
            <v>1.6431924882629012E-2</v>
          </cell>
          <cell r="M24">
            <v>7.0093457943924964E-3</v>
          </cell>
          <cell r="N24">
            <v>-6.2937062937062915E-2</v>
          </cell>
          <cell r="O24">
            <v>-0.55373831775700932</v>
          </cell>
          <cell r="P24">
            <v>-0.66588235294117648</v>
          </cell>
          <cell r="Q24">
            <v>-0.85348837209302331</v>
          </cell>
          <cell r="R24">
            <v>-0.86774941995359622</v>
          </cell>
          <cell r="S24">
            <v>-0.8392857142857143</v>
          </cell>
          <cell r="T24">
            <v>-0.67391304347826086</v>
          </cell>
          <cell r="U24">
            <v>-0.85746102449888639</v>
          </cell>
          <cell r="V24">
            <v>-0.4061810154525386</v>
          </cell>
          <cell r="W24">
            <v>-0.28227571115973737</v>
          </cell>
          <cell r="X24">
            <v>-0.24678111587982832</v>
          </cell>
          <cell r="Y24">
            <v>2.200000000000002E-2</v>
          </cell>
          <cell r="Z24">
            <v>4.980079681274896E-2</v>
          </cell>
          <cell r="AA24">
            <v>5.3465346534653513E-2</v>
          </cell>
          <cell r="AB24">
            <v>-0.1098039215686275</v>
          </cell>
        </row>
        <row r="25">
          <cell r="C25" t="str">
            <v>Belgium</v>
          </cell>
          <cell r="D25">
            <v>-1.755965781179647E-2</v>
          </cell>
          <cell r="E25">
            <v>-4.3906810035842292E-2</v>
          </cell>
          <cell r="F25">
            <v>-3.1513537505548195E-2</v>
          </cell>
          <cell r="G25">
            <v>-3.7868780273007441E-2</v>
          </cell>
          <cell r="H25">
            <v>-1.2625163256421379E-2</v>
          </cell>
          <cell r="I25">
            <v>4.6746104491292462E-2</v>
          </cell>
          <cell r="J25">
            <v>-1.2787723785166238E-2</v>
          </cell>
          <cell r="K25">
            <v>5.1679586563306845E-3</v>
          </cell>
          <cell r="L25">
            <v>-5.5626872058194277E-3</v>
          </cell>
          <cell r="M25">
            <v>-6.5460809646856188E-2</v>
          </cell>
          <cell r="N25">
            <v>-0.22222222222222221</v>
          </cell>
          <cell r="O25">
            <v>-0.77386508273228682</v>
          </cell>
          <cell r="P25">
            <v>-0.83915022761760238</v>
          </cell>
          <cell r="Q25">
            <v>-0.84192949907235626</v>
          </cell>
          <cell r="R25">
            <v>-0.85325884543761643</v>
          </cell>
          <cell r="S25">
            <v>-0.92205393424455118</v>
          </cell>
          <cell r="T25">
            <v>-0.92016040831206714</v>
          </cell>
          <cell r="U25">
            <v>-0.89891304347826084</v>
          </cell>
          <cell r="V25">
            <v>-0.86525855790240347</v>
          </cell>
          <cell r="W25">
            <v>-0.81322254335260113</v>
          </cell>
          <cell r="X25">
            <v>-0.79365658038643816</v>
          </cell>
          <cell r="Y25">
            <v>-0.31734186211798154</v>
          </cell>
          <cell r="Z25">
            <v>-0.19823943661971832</v>
          </cell>
          <cell r="AA25">
            <v>-0.17967072297780962</v>
          </cell>
          <cell r="AB25">
            <v>-0.30097765363128492</v>
          </cell>
        </row>
        <row r="26">
          <cell r="C26" t="str">
            <v>Belize</v>
          </cell>
          <cell r="D26">
            <v>0.17404371584699452</v>
          </cell>
          <cell r="E26">
            <v>0.16802832244008714</v>
          </cell>
          <cell r="F26">
            <v>0.14630836047774154</v>
          </cell>
          <cell r="G26">
            <v>0.16062176165803099</v>
          </cell>
          <cell r="H26">
            <v>0.15266757865937075</v>
          </cell>
          <cell r="I26">
            <v>0.14017689627445717</v>
          </cell>
          <cell r="J26">
            <v>0.1355252606255013</v>
          </cell>
          <cell r="K26">
            <v>0.13800481412142274</v>
          </cell>
          <cell r="L26">
            <v>0.14090543798553434</v>
          </cell>
          <cell r="M26">
            <v>0.15312416197371959</v>
          </cell>
          <cell r="N26">
            <v>0.14506666666666668</v>
          </cell>
          <cell r="O26">
            <v>0.10516506922257718</v>
          </cell>
          <cell r="P26">
            <v>-0.10162277201383352</v>
          </cell>
          <cell r="Q26">
            <v>-0.17086909871244638</v>
          </cell>
          <cell r="R26">
            <v>-0.17784334763948495</v>
          </cell>
          <cell r="S26">
            <v>-0.17852348993288591</v>
          </cell>
          <cell r="T26">
            <v>-7.5418994413407825E-2</v>
          </cell>
          <cell r="U26">
            <v>0.11117318435754187</v>
          </cell>
          <cell r="V26">
            <v>0.11145337440492864</v>
          </cell>
          <cell r="W26">
            <v>0.11269974768713209</v>
          </cell>
          <cell r="X26">
            <v>0.10299468233977049</v>
          </cell>
          <cell r="Y26">
            <v>7.0072585147961997E-2</v>
          </cell>
          <cell r="Z26">
            <v>0.10992189759907434</v>
          </cell>
          <cell r="AA26">
            <v>0.10921698930944812</v>
          </cell>
          <cell r="AB26">
            <v>-5.1599884692995146E-2</v>
          </cell>
        </row>
        <row r="27">
          <cell r="C27" t="str">
            <v>Benin</v>
          </cell>
          <cell r="D27">
            <v>-0.19580419580419584</v>
          </cell>
          <cell r="E27">
            <v>-0.20945945945945943</v>
          </cell>
          <cell r="F27">
            <v>-0.20945945945945943</v>
          </cell>
          <cell r="G27">
            <v>-0.19285714285714284</v>
          </cell>
          <cell r="H27">
            <v>-8.59375E-2</v>
          </cell>
          <cell r="I27">
            <v>-9.2307692307692313E-2</v>
          </cell>
          <cell r="J27">
            <v>-0.1145038167938931</v>
          </cell>
          <cell r="K27">
            <v>-0.10687022900763354</v>
          </cell>
          <cell r="L27">
            <v>-8.6614173228346414E-2</v>
          </cell>
          <cell r="M27">
            <v>-0.12598425196850394</v>
          </cell>
          <cell r="N27">
            <v>-0.13600000000000001</v>
          </cell>
          <cell r="O27">
            <v>-0.55084745762711862</v>
          </cell>
          <cell r="P27">
            <v>-0.56097560975609762</v>
          </cell>
          <cell r="Q27">
            <v>-0.57692307692307687</v>
          </cell>
          <cell r="R27">
            <v>-0.6589147286821706</v>
          </cell>
          <cell r="S27">
            <v>-0.58196721311475408</v>
          </cell>
          <cell r="T27">
            <v>-0.7</v>
          </cell>
          <cell r="U27">
            <v>-0.73684210526315796</v>
          </cell>
          <cell r="V27">
            <v>-0.54621848739495804</v>
          </cell>
          <cell r="W27">
            <v>-0.41228070175438591</v>
          </cell>
          <cell r="X27">
            <v>-0.375</v>
          </cell>
          <cell r="Y27">
            <v>-6.1403508771929793E-2</v>
          </cell>
          <cell r="Z27">
            <v>-9.9999999999999978E-2</v>
          </cell>
          <cell r="AA27">
            <v>-0.13076923076923075</v>
          </cell>
          <cell r="AB27">
            <v>-0.25954198473282442</v>
          </cell>
        </row>
        <row r="28">
          <cell r="C28" t="str">
            <v>Bermuda</v>
          </cell>
          <cell r="D28">
            <v>-0.1333333333333333</v>
          </cell>
          <cell r="E28">
            <v>-0.13793103448275867</v>
          </cell>
          <cell r="F28">
            <v>-0.13793103448275867</v>
          </cell>
          <cell r="G28">
            <v>-0.13793103448275867</v>
          </cell>
          <cell r="H28">
            <v>-0.12068965517241381</v>
          </cell>
          <cell r="I28">
            <v>-0.11864406779661019</v>
          </cell>
          <cell r="J28">
            <v>-0.11475409836065575</v>
          </cell>
          <cell r="K28">
            <v>-0.11475409836065575</v>
          </cell>
          <cell r="L28">
            <v>-0.14516129032258063</v>
          </cell>
          <cell r="M28">
            <v>-0.12903225806451613</v>
          </cell>
          <cell r="N28">
            <v>-0.11111111111111116</v>
          </cell>
          <cell r="O28">
            <v>-0.63492063492063489</v>
          </cell>
          <cell r="P28">
            <v>-1</v>
          </cell>
          <cell r="Q28">
            <v>-1</v>
          </cell>
          <cell r="R28">
            <v>-1</v>
          </cell>
          <cell r="S28">
            <v>-1</v>
          </cell>
          <cell r="T28">
            <v>-1</v>
          </cell>
          <cell r="U28">
            <v>-1</v>
          </cell>
          <cell r="V28">
            <v>-1</v>
          </cell>
          <cell r="W28">
            <v>-0.98717948717948723</v>
          </cell>
          <cell r="X28">
            <v>-0.97435897435897434</v>
          </cell>
          <cell r="Y28">
            <v>-0.5714285714285714</v>
          </cell>
          <cell r="Z28">
            <v>-0.38888888888888884</v>
          </cell>
          <cell r="AA28">
            <v>-0.32258064516129037</v>
          </cell>
          <cell r="AB28">
            <v>-0.40860215053763438</v>
          </cell>
        </row>
        <row r="29">
          <cell r="C29" t="str">
            <v>Bhutan</v>
          </cell>
          <cell r="D29">
            <v>-0.1333333333333333</v>
          </cell>
          <cell r="E29">
            <v>-6.6666666666666652E-2</v>
          </cell>
          <cell r="F29">
            <v>-6.6666666666666652E-2</v>
          </cell>
          <cell r="G29">
            <v>-4.6511627906976716E-2</v>
          </cell>
          <cell r="H29">
            <v>0.13235294117647056</v>
          </cell>
          <cell r="I29">
            <v>0.40384615384615374</v>
          </cell>
          <cell r="J29">
            <v>0.48076923076923084</v>
          </cell>
          <cell r="K29">
            <v>-6.7567567567567544E-2</v>
          </cell>
          <cell r="L29">
            <v>-0.1071428571428571</v>
          </cell>
          <cell r="M29">
            <v>-3.8461538461538436E-2</v>
          </cell>
          <cell r="N29">
            <v>-0.44047619047619047</v>
          </cell>
          <cell r="O29">
            <v>-0.66666666666666674</v>
          </cell>
          <cell r="P29">
            <v>-0.57499999999999996</v>
          </cell>
          <cell r="Q29">
            <v>-0.86764705882352944</v>
          </cell>
          <cell r="R29">
            <v>-0.85185185185185186</v>
          </cell>
          <cell r="S29">
            <v>-0.86250000000000004</v>
          </cell>
          <cell r="T29">
            <v>-0.64197530864197527</v>
          </cell>
          <cell r="U29">
            <v>-0.67532467532467533</v>
          </cell>
          <cell r="V29">
            <v>-0.68965517241379315</v>
          </cell>
          <cell r="W29">
            <v>-0.69230769230769229</v>
          </cell>
          <cell r="X29">
            <v>-0.70652173913043481</v>
          </cell>
          <cell r="Y29">
            <v>-0.29032258064516125</v>
          </cell>
          <cell r="Z29">
            <v>-0.38181818181818183</v>
          </cell>
          <cell r="AA29">
            <v>-0.35238095238095235</v>
          </cell>
          <cell r="AB29">
            <v>-0.38541666666666663</v>
          </cell>
        </row>
        <row r="30">
          <cell r="C30" t="str">
            <v>Bolivia</v>
          </cell>
          <cell r="D30">
            <v>-6.9979006298110602E-2</v>
          </cell>
          <cell r="E30">
            <v>-6.4356435643564303E-2</v>
          </cell>
          <cell r="F30">
            <v>-6.2764456981664329E-2</v>
          </cell>
          <cell r="G30">
            <v>-6.1397318278052171E-2</v>
          </cell>
          <cell r="H30">
            <v>-5.3533190578158418E-2</v>
          </cell>
          <cell r="I30">
            <v>-4.9497847919655613E-2</v>
          </cell>
          <cell r="J30">
            <v>-4.0374909877433307E-2</v>
          </cell>
          <cell r="K30">
            <v>-4.6762589928057596E-2</v>
          </cell>
          <cell r="L30">
            <v>-2.988338192419826E-2</v>
          </cell>
          <cell r="M30">
            <v>-3.2727272727272716E-2</v>
          </cell>
          <cell r="N30">
            <v>-2.8761061946902644E-2</v>
          </cell>
          <cell r="O30">
            <v>-0.25971058644325973</v>
          </cell>
          <cell r="P30">
            <v>-0.12444113263785395</v>
          </cell>
          <cell r="Q30">
            <v>-7.896678966789672E-2</v>
          </cell>
          <cell r="R30">
            <v>-7.5443786982248517E-2</v>
          </cell>
          <cell r="S30">
            <v>-8.1438004402054287E-2</v>
          </cell>
          <cell r="T30">
            <v>-0.14716703458425318</v>
          </cell>
          <cell r="U30">
            <v>-0.24522760646108666</v>
          </cell>
          <cell r="V30">
            <v>-0.24231332357247437</v>
          </cell>
          <cell r="W30">
            <v>-0.24304538799414344</v>
          </cell>
          <cell r="X30">
            <v>-0.17163636363636359</v>
          </cell>
          <cell r="Y30">
            <v>-0.14119359534206699</v>
          </cell>
          <cell r="Z30">
            <v>-0.1275811209439528</v>
          </cell>
          <cell r="AA30">
            <v>-0.15053763440860213</v>
          </cell>
          <cell r="AB30">
            <v>-0.1839416058394161</v>
          </cell>
        </row>
        <row r="31">
          <cell r="C31" t="str">
            <v>Bonaire, Saint Eustatius and Saba</v>
          </cell>
          <cell r="D31">
            <v>0.26436781609195403</v>
          </cell>
          <cell r="E31">
            <v>0.26436781609195403</v>
          </cell>
          <cell r="F31">
            <v>0.25862068965517238</v>
          </cell>
          <cell r="G31">
            <v>0.26744186046511631</v>
          </cell>
          <cell r="H31">
            <v>0.38036809815950923</v>
          </cell>
          <cell r="I31">
            <v>0.34883720930232553</v>
          </cell>
          <cell r="J31">
            <v>0.35465116279069764</v>
          </cell>
          <cell r="K31">
            <v>0.53947368421052633</v>
          </cell>
          <cell r="L31">
            <v>0.52941176470588225</v>
          </cell>
          <cell r="M31">
            <v>0.50649350649350655</v>
          </cell>
          <cell r="N31">
            <v>0.52258064516129021</v>
          </cell>
          <cell r="O31">
            <v>-1.9607843137254943E-2</v>
          </cell>
          <cell r="P31">
            <v>-0.32679738562091498</v>
          </cell>
          <cell r="Q31">
            <v>-0.33986928104575165</v>
          </cell>
          <cell r="R31">
            <v>-0.4219653179190751</v>
          </cell>
          <cell r="S31">
            <v>-0.40476190476190477</v>
          </cell>
          <cell r="T31">
            <v>-0.41916167664670656</v>
          </cell>
          <cell r="U31">
            <v>-0.4</v>
          </cell>
          <cell r="V31">
            <v>-0.27380952380952384</v>
          </cell>
          <cell r="W31">
            <v>-0.36787564766839376</v>
          </cell>
          <cell r="X31">
            <v>-0.34895833333333337</v>
          </cell>
          <cell r="Y31">
            <v>-0.30729166666666663</v>
          </cell>
          <cell r="Z31">
            <v>-0.31088082901554404</v>
          </cell>
          <cell r="AA31">
            <v>-0.30729166666666663</v>
          </cell>
          <cell r="AB31">
            <v>-0.36979166666666663</v>
          </cell>
        </row>
        <row r="32">
          <cell r="C32" t="str">
            <v>Bosnia and Herzegovina</v>
          </cell>
          <cell r="D32">
            <v>8.4745762711864181E-3</v>
          </cell>
          <cell r="E32">
            <v>8.3333333333333259E-2</v>
          </cell>
          <cell r="F32">
            <v>6.4814814814814881E-2</v>
          </cell>
          <cell r="G32">
            <v>6.4814814814814881E-2</v>
          </cell>
          <cell r="H32">
            <v>0.16666666666666674</v>
          </cell>
          <cell r="I32">
            <v>0.13761467889908263</v>
          </cell>
          <cell r="J32">
            <v>0.12037037037037046</v>
          </cell>
          <cell r="K32">
            <v>0.11926605504587151</v>
          </cell>
          <cell r="L32">
            <v>8.0357142857142794E-2</v>
          </cell>
          <cell r="M32">
            <v>9.9099099099099197E-2</v>
          </cell>
          <cell r="N32">
            <v>1.7857142857142794E-2</v>
          </cell>
          <cell r="O32">
            <v>-0.52066115702479343</v>
          </cell>
          <cell r="P32">
            <v>-0.64900662251655628</v>
          </cell>
          <cell r="Q32">
            <v>-0.68456375838926176</v>
          </cell>
          <cell r="R32">
            <v>-0.64</v>
          </cell>
          <cell r="S32">
            <v>-0.92207792207792205</v>
          </cell>
          <cell r="T32">
            <v>-0.78064516129032258</v>
          </cell>
          <cell r="U32">
            <v>-0.55319148936170215</v>
          </cell>
          <cell r="V32">
            <v>-0.48951048951048948</v>
          </cell>
          <cell r="W32">
            <v>-0.43661971830985913</v>
          </cell>
          <cell r="X32">
            <v>-0.25503355704697983</v>
          </cell>
          <cell r="Y32">
            <v>5.9171597633136175E-2</v>
          </cell>
          <cell r="Z32">
            <v>9.8837209302325535E-2</v>
          </cell>
          <cell r="AA32">
            <v>6.1111111111111116E-2</v>
          </cell>
          <cell r="AB32">
            <v>-9.6256684491978661E-2</v>
          </cell>
        </row>
        <row r="33">
          <cell r="C33" t="str">
            <v>Botswana</v>
          </cell>
          <cell r="D33">
            <v>-9.1836734693877542E-2</v>
          </cell>
          <cell r="E33">
            <v>-0.12871287128712872</v>
          </cell>
          <cell r="F33">
            <v>-0.21182266009852213</v>
          </cell>
          <cell r="G33">
            <v>-0.17326732673267331</v>
          </cell>
          <cell r="H33">
            <v>-0.19211822660098521</v>
          </cell>
          <cell r="I33">
            <v>-0.18500000000000005</v>
          </cell>
          <cell r="J33">
            <v>-0.1840796019900498</v>
          </cell>
          <cell r="K33">
            <v>-0.11707317073170731</v>
          </cell>
          <cell r="L33">
            <v>-4.5685279187817285E-2</v>
          </cell>
          <cell r="M33">
            <v>-5.5837563451776595E-2</v>
          </cell>
          <cell r="N33">
            <v>-8.854166666666663E-2</v>
          </cell>
          <cell r="O33">
            <v>-0.15025906735751293</v>
          </cell>
          <cell r="P33">
            <v>-0.47179487179487178</v>
          </cell>
          <cell r="Q33">
            <v>-0.45355191256830596</v>
          </cell>
          <cell r="R33">
            <v>-0.36413043478260865</v>
          </cell>
          <cell r="S33">
            <v>-0.25773195876288657</v>
          </cell>
          <cell r="T33">
            <v>-8.9171974522292974E-2</v>
          </cell>
          <cell r="U33">
            <v>-6.9182389937106903E-2</v>
          </cell>
          <cell r="V33">
            <v>0</v>
          </cell>
          <cell r="W33">
            <v>1.1764705882352899E-2</v>
          </cell>
          <cell r="X33">
            <v>-4.9723756906077332E-2</v>
          </cell>
          <cell r="Y33">
            <v>-7.291666666666663E-2</v>
          </cell>
          <cell r="Z33">
            <v>2.8089887640449396E-2</v>
          </cell>
          <cell r="AA33">
            <v>-1.0101010101010055E-2</v>
          </cell>
          <cell r="AB33">
            <v>-0.14925373134328357</v>
          </cell>
        </row>
        <row r="34">
          <cell r="C34" t="str">
            <v>Brazil</v>
          </cell>
          <cell r="D34">
            <v>-1.0048705460138474E-2</v>
          </cell>
          <cell r="E34">
            <v>-1.2413439343421429E-2</v>
          </cell>
          <cell r="F34">
            <v>-8.5324232081911422E-3</v>
          </cell>
          <cell r="G34">
            <v>8.3927822073026626E-4</v>
          </cell>
          <cell r="H34">
            <v>6.8283622855893622E-3</v>
          </cell>
          <cell r="I34">
            <v>-3.1542310202306023E-3</v>
          </cell>
          <cell r="J34">
            <v>-3.6059275521405088E-2</v>
          </cell>
          <cell r="K34">
            <v>-5.8699131229995483E-2</v>
          </cell>
          <cell r="L34">
            <v>0.11047759180920846</v>
          </cell>
          <cell r="M34">
            <v>-1.6711229946519968E-4</v>
          </cell>
          <cell r="N34">
            <v>1.6753224995811333E-3</v>
          </cell>
          <cell r="O34">
            <v>-0.23867850320260708</v>
          </cell>
          <cell r="P34">
            <v>-0.84152305542617611</v>
          </cell>
          <cell r="Q34">
            <v>-0.90900595724798505</v>
          </cell>
          <cell r="R34">
            <v>-0.92203870331566617</v>
          </cell>
          <cell r="S34">
            <v>-0.93410828999694095</v>
          </cell>
          <cell r="T34">
            <v>-0.92583574624901288</v>
          </cell>
          <cell r="U34">
            <v>-0.91669709139588662</v>
          </cell>
          <cell r="V34">
            <v>-0.90473379766261364</v>
          </cell>
          <cell r="W34">
            <v>-0.89623316247466922</v>
          </cell>
          <cell r="X34">
            <v>-0.88335394217747165</v>
          </cell>
          <cell r="Y34">
            <v>-0.16114439418021764</v>
          </cell>
          <cell r="Z34">
            <v>-0.21438168117296574</v>
          </cell>
          <cell r="AA34">
            <v>-5.7263694951664834E-2</v>
          </cell>
          <cell r="AB34">
            <v>-0.26159081242024673</v>
          </cell>
        </row>
        <row r="35">
          <cell r="C35" t="str">
            <v>Brunei Darussalam</v>
          </cell>
          <cell r="D35">
            <v>0.32214765100671139</v>
          </cell>
          <cell r="E35">
            <v>0.30065359477124187</v>
          </cell>
          <cell r="F35">
            <v>0.27044025157232698</v>
          </cell>
          <cell r="G35">
            <v>0.26708074534161486</v>
          </cell>
          <cell r="H35">
            <v>0.16049382716049387</v>
          </cell>
          <cell r="I35">
            <v>0.1165644171779141</v>
          </cell>
          <cell r="J35">
            <v>6.7901234567901314E-2</v>
          </cell>
          <cell r="K35">
            <v>6.7901234567901314E-2</v>
          </cell>
          <cell r="L35">
            <v>1.8987341772152E-2</v>
          </cell>
          <cell r="M35">
            <v>-6.7484662576687171E-2</v>
          </cell>
          <cell r="N35">
            <v>-7.2727272727272751E-2</v>
          </cell>
          <cell r="O35">
            <v>-0.88622754491017963</v>
          </cell>
          <cell r="P35">
            <v>-0.84472049689440998</v>
          </cell>
          <cell r="Q35">
            <v>-0.83536585365853655</v>
          </cell>
          <cell r="R35">
            <v>-0.95092024539877296</v>
          </cell>
          <cell r="S35">
            <v>-0.94545454545454544</v>
          </cell>
          <cell r="T35">
            <v>-0.94610778443113774</v>
          </cell>
          <cell r="U35">
            <v>-0.9419354838709677</v>
          </cell>
          <cell r="V35">
            <v>-0.93506493506493504</v>
          </cell>
          <cell r="W35">
            <v>-0.89873417721518989</v>
          </cell>
          <cell r="X35">
            <v>-0.89634146341463417</v>
          </cell>
          <cell r="Y35">
            <v>-9.0361445783132543E-2</v>
          </cell>
          <cell r="Z35">
            <v>-7.9268292682926789E-2</v>
          </cell>
          <cell r="AA35">
            <v>-8.484848484848484E-2</v>
          </cell>
          <cell r="AB35">
            <v>-0.23493975903614461</v>
          </cell>
        </row>
        <row r="36">
          <cell r="C36" t="str">
            <v>Bulgaria</v>
          </cell>
          <cell r="D36">
            <v>3.6458333333333259E-2</v>
          </cell>
          <cell r="E36">
            <v>5.6057866184448413E-2</v>
          </cell>
          <cell r="F36">
            <v>4.3956043956044022E-2</v>
          </cell>
          <cell r="G36">
            <v>6.4695009242144108E-2</v>
          </cell>
          <cell r="H36">
            <v>7.6642335766423431E-2</v>
          </cell>
          <cell r="I36">
            <v>6.7857142857142838E-2</v>
          </cell>
          <cell r="J36">
            <v>6.371681415929209E-2</v>
          </cell>
          <cell r="K36">
            <v>8.0645161290322509E-2</v>
          </cell>
          <cell r="L36">
            <v>7.6376554174067524E-2</v>
          </cell>
          <cell r="M36">
            <v>3.3989266547405972E-2</v>
          </cell>
          <cell r="N36">
            <v>-7.9566003616636571E-2</v>
          </cell>
          <cell r="O36">
            <v>-0.48837209302325579</v>
          </cell>
          <cell r="P36">
            <v>-0.59098497495826385</v>
          </cell>
          <cell r="Q36">
            <v>-0.6</v>
          </cell>
          <cell r="R36">
            <v>-0.62236628849270659</v>
          </cell>
          <cell r="S36">
            <v>-0.84458398744113028</v>
          </cell>
          <cell r="T36">
            <v>-0.75316455696202533</v>
          </cell>
          <cell r="U36">
            <v>-0.65284178187403996</v>
          </cell>
          <cell r="V36">
            <v>-0.62536873156342176</v>
          </cell>
          <cell r="W36">
            <v>-0.55364238410596034</v>
          </cell>
          <cell r="X36">
            <v>-0.54350417163289633</v>
          </cell>
          <cell r="Y36">
            <v>-0.17044228694714136</v>
          </cell>
          <cell r="Z36">
            <v>-0.18263473053892221</v>
          </cell>
          <cell r="AA36">
            <v>-0.18361581920903958</v>
          </cell>
          <cell r="AB36">
            <v>-0.27803099361896078</v>
          </cell>
        </row>
        <row r="37">
          <cell r="C37" t="str">
            <v>Burkina Faso</v>
          </cell>
          <cell r="D37">
            <v>8.4033613445378075E-2</v>
          </cell>
          <cell r="E37">
            <v>7.5630252100840289E-2</v>
          </cell>
          <cell r="F37">
            <v>-2.3622047244094446E-2</v>
          </cell>
          <cell r="G37">
            <v>7.9365079365079083E-3</v>
          </cell>
          <cell r="H37">
            <v>0</v>
          </cell>
          <cell r="I37">
            <v>0</v>
          </cell>
          <cell r="J37">
            <v>1.6260162601626105E-2</v>
          </cell>
          <cell r="K37">
            <v>9.6000000000000085E-2</v>
          </cell>
          <cell r="L37">
            <v>5.0000000000000044E-2</v>
          </cell>
          <cell r="M37">
            <v>4.1666666666666741E-2</v>
          </cell>
          <cell r="N37">
            <v>1.6806722689075571E-2</v>
          </cell>
          <cell r="O37">
            <v>-0.29411764705882348</v>
          </cell>
          <cell r="P37">
            <v>-0.44999999999999996</v>
          </cell>
          <cell r="Q37">
            <v>-0.41666666666666663</v>
          </cell>
          <cell r="R37">
            <v>-0.46666666666666667</v>
          </cell>
          <cell r="S37">
            <v>-0.43333333333333335</v>
          </cell>
          <cell r="T37">
            <v>-0.36885245901639341</v>
          </cell>
          <cell r="U37">
            <v>-0.25203252032520329</v>
          </cell>
          <cell r="V37">
            <v>-0.17886178861788615</v>
          </cell>
          <cell r="W37">
            <v>-8.9430894308943132E-2</v>
          </cell>
          <cell r="X37">
            <v>-2.4793388429752095E-2</v>
          </cell>
          <cell r="Y37">
            <v>7.3770491803278659E-2</v>
          </cell>
          <cell r="Z37">
            <v>0.10833333333333339</v>
          </cell>
          <cell r="AA37">
            <v>0.23333333333333339</v>
          </cell>
          <cell r="AB37">
            <v>9.243697478991586E-2</v>
          </cell>
        </row>
        <row r="38">
          <cell r="C38" t="str">
            <v>Burundi</v>
          </cell>
          <cell r="D38">
            <v>4.7619047619047672E-2</v>
          </cell>
          <cell r="E38">
            <v>4.7619047619047672E-2</v>
          </cell>
          <cell r="F38">
            <v>0.18918918918918926</v>
          </cell>
          <cell r="G38">
            <v>0.25714285714285712</v>
          </cell>
          <cell r="H38">
            <v>0.41935483870967749</v>
          </cell>
          <cell r="I38">
            <v>0.41935483870967749</v>
          </cell>
          <cell r="J38">
            <v>0.33333333333333326</v>
          </cell>
          <cell r="K38">
            <v>0.30303030303030298</v>
          </cell>
          <cell r="L38">
            <v>0.72413793103448265</v>
          </cell>
          <cell r="M38">
            <v>0.72413793103448265</v>
          </cell>
          <cell r="N38">
            <v>0.61290322580645151</v>
          </cell>
          <cell r="O38">
            <v>-0.12121212121212122</v>
          </cell>
          <cell r="P38">
            <v>-0.8</v>
          </cell>
          <cell r="Q38">
            <v>-0.44827586206896552</v>
          </cell>
          <cell r="R38">
            <v>-0.82758620689655171</v>
          </cell>
          <cell r="S38">
            <v>-0.7142857142857143</v>
          </cell>
          <cell r="T38">
            <v>-0.64285714285714279</v>
          </cell>
          <cell r="U38">
            <v>-0.87878787878787878</v>
          </cell>
          <cell r="V38">
            <v>-0.68888888888888888</v>
          </cell>
          <cell r="W38">
            <v>-0.24444444444444446</v>
          </cell>
          <cell r="X38">
            <v>-4.5454545454545414E-2</v>
          </cell>
          <cell r="Y38">
            <v>-0.11904761904761907</v>
          </cell>
          <cell r="Z38">
            <v>-9.7560975609756073E-2</v>
          </cell>
          <cell r="AA38">
            <v>-0.11904761904761907</v>
          </cell>
          <cell r="AB38">
            <v>-0.31818181818181823</v>
          </cell>
        </row>
        <row r="39">
          <cell r="C39" t="str">
            <v>Cambodia</v>
          </cell>
          <cell r="D39">
            <v>3.7752414398595224E-2</v>
          </cell>
          <cell r="E39">
            <v>6.1782877316857832E-2</v>
          </cell>
          <cell r="F39">
            <v>3.3707865168539408E-2</v>
          </cell>
          <cell r="G39">
            <v>-1.6020236087689765E-2</v>
          </cell>
          <cell r="H39">
            <v>-0.169449081803005</v>
          </cell>
          <cell r="I39">
            <v>-0.19949706621961438</v>
          </cell>
          <cell r="J39">
            <v>-0.21404399323181045</v>
          </cell>
          <cell r="K39">
            <v>-0.24849527085124679</v>
          </cell>
          <cell r="L39">
            <v>-0.24347826086956526</v>
          </cell>
          <cell r="M39">
            <v>-0.25</v>
          </cell>
          <cell r="N39">
            <v>-0.26510369702434622</v>
          </cell>
          <cell r="O39">
            <v>-0.51767905711695383</v>
          </cell>
          <cell r="P39">
            <v>-0.84317521781219751</v>
          </cell>
          <cell r="Q39">
            <v>-0.88173076923076921</v>
          </cell>
          <cell r="R39">
            <v>-0.91354466858789629</v>
          </cell>
          <cell r="S39">
            <v>-0.9221789883268483</v>
          </cell>
          <cell r="T39">
            <v>-0.92330097087378638</v>
          </cell>
          <cell r="U39">
            <v>-0.89317507418397624</v>
          </cell>
          <cell r="V39">
            <v>-0.8715686274509804</v>
          </cell>
          <cell r="W39">
            <v>-0.82098171318575552</v>
          </cell>
          <cell r="X39">
            <v>-0.80693069306930698</v>
          </cell>
          <cell r="Y39">
            <v>-0.36752988047808766</v>
          </cell>
          <cell r="Z39">
            <v>-0.3609172482552343</v>
          </cell>
          <cell r="AA39">
            <v>-0.37220602526724977</v>
          </cell>
          <cell r="AB39">
            <v>-0.47398297067171236</v>
          </cell>
        </row>
        <row r="40">
          <cell r="C40" t="str">
            <v>Cameroon</v>
          </cell>
          <cell r="D40">
            <v>-0.42216358839050128</v>
          </cell>
          <cell r="E40">
            <v>-0.43548387096774188</v>
          </cell>
          <cell r="F40">
            <v>-0.4065040650406504</v>
          </cell>
          <cell r="G40">
            <v>-0.44864864864864862</v>
          </cell>
          <cell r="H40">
            <v>-0.46091644204851756</v>
          </cell>
          <cell r="I40">
            <v>-0.46296296296296291</v>
          </cell>
          <cell r="J40">
            <v>-0.40707964601769908</v>
          </cell>
          <cell r="K40">
            <v>-0.4006024096385542</v>
          </cell>
          <cell r="L40">
            <v>-0.42690058479532167</v>
          </cell>
          <cell r="M40">
            <v>-0.42011834319526631</v>
          </cell>
          <cell r="N40">
            <v>-0.45321637426900585</v>
          </cell>
          <cell r="O40">
            <v>-0.8619631901840491</v>
          </cell>
          <cell r="P40">
            <v>-0.91304347826086962</v>
          </cell>
          <cell r="Q40">
            <v>-0.94620253164556967</v>
          </cell>
          <cell r="R40">
            <v>-0.9760479041916168</v>
          </cell>
          <cell r="S40">
            <v>-0.92559523809523814</v>
          </cell>
          <cell r="T40">
            <v>-0.83522727272727271</v>
          </cell>
          <cell r="U40">
            <v>-0.89085545722713866</v>
          </cell>
          <cell r="V40">
            <v>-0.78978978978978975</v>
          </cell>
          <cell r="W40">
            <v>-0.71387283236994215</v>
          </cell>
          <cell r="X40">
            <v>-0.67638483965014573</v>
          </cell>
          <cell r="Y40">
            <v>-0.53672316384180796</v>
          </cell>
          <cell r="Z40">
            <v>-0.55040871934604907</v>
          </cell>
          <cell r="AA40">
            <v>-0.49865229110512133</v>
          </cell>
          <cell r="AB40">
            <v>-0.56077348066298338</v>
          </cell>
        </row>
        <row r="41">
          <cell r="C41" t="str">
            <v>Canada</v>
          </cell>
          <cell r="D41">
            <v>-5.5232217491504199E-2</v>
          </cell>
          <cell r="E41">
            <v>-6.2813178141645332E-2</v>
          </cell>
          <cell r="F41">
            <v>-6.1562746645619559E-2</v>
          </cell>
          <cell r="G41">
            <v>-5.7001777602212145E-2</v>
          </cell>
          <cell r="H41">
            <v>-5.2117776728074272E-2</v>
          </cell>
          <cell r="I41">
            <v>-5.7280722235193426E-2</v>
          </cell>
          <cell r="J41">
            <v>-6.3525777177061205E-2</v>
          </cell>
          <cell r="K41">
            <v>-6.5725003827897699E-2</v>
          </cell>
          <cell r="L41">
            <v>-6.9036461309863961E-2</v>
          </cell>
          <cell r="M41">
            <v>-8.9598901936861375E-2</v>
          </cell>
          <cell r="N41">
            <v>-9.4336012246460044E-2</v>
          </cell>
          <cell r="O41">
            <v>-0.39502297090352223</v>
          </cell>
          <cell r="P41">
            <v>-0.6105014479500076</v>
          </cell>
          <cell r="Q41">
            <v>-0.67033388277686201</v>
          </cell>
          <cell r="R41">
            <v>-0.72696712660751284</v>
          </cell>
          <cell r="S41">
            <v>-0.76105336642879307</v>
          </cell>
          <cell r="T41">
            <v>-0.75848983543078408</v>
          </cell>
          <cell r="U41">
            <v>-0.73260257053533517</v>
          </cell>
          <cell r="V41">
            <v>-0.71946594427244581</v>
          </cell>
          <cell r="W41">
            <v>-0.69746772401639656</v>
          </cell>
          <cell r="X41">
            <v>-0.69550831019663029</v>
          </cell>
          <cell r="Y41">
            <v>-0.25073658300078316</v>
          </cell>
          <cell r="Z41">
            <v>-0.15125676577444946</v>
          </cell>
          <cell r="AA41">
            <v>-0.14667008384285873</v>
          </cell>
          <cell r="AB41">
            <v>-0.24578181818181821</v>
          </cell>
        </row>
        <row r="42">
          <cell r="C42" t="str">
            <v>Cape Verde</v>
          </cell>
          <cell r="D42">
            <v>0.14662756598240478</v>
          </cell>
          <cell r="E42">
            <v>0.1510574018126889</v>
          </cell>
          <cell r="F42">
            <v>0.13981762917933138</v>
          </cell>
          <cell r="G42">
            <v>0.14984709480122316</v>
          </cell>
          <cell r="H42">
            <v>0.12195121951219523</v>
          </cell>
          <cell r="I42">
            <v>0.10903426791277249</v>
          </cell>
          <cell r="J42">
            <v>5.7926829268292623E-2</v>
          </cell>
          <cell r="K42">
            <v>-2.359882005899705E-2</v>
          </cell>
          <cell r="L42">
            <v>3.2835820895522394E-2</v>
          </cell>
          <cell r="M42">
            <v>-7.0769230769230806E-2</v>
          </cell>
          <cell r="N42">
            <v>-9.0909090909090939E-2</v>
          </cell>
          <cell r="O42">
            <v>-0.49529780564263326</v>
          </cell>
          <cell r="P42">
            <v>-0.819620253164557</v>
          </cell>
          <cell r="Q42">
            <v>-0.83227848101265822</v>
          </cell>
          <cell r="R42">
            <v>-0.76527331189710612</v>
          </cell>
          <cell r="S42">
            <v>-0.95364238410596025</v>
          </cell>
          <cell r="T42">
            <v>-0.93571428571428572</v>
          </cell>
          <cell r="U42">
            <v>-0.71003717472118955</v>
          </cell>
          <cell r="V42">
            <v>-0.69056603773584913</v>
          </cell>
          <cell r="W42">
            <v>-0.55598455598455598</v>
          </cell>
          <cell r="X42">
            <v>-0.51764705882352935</v>
          </cell>
          <cell r="Y42">
            <v>-0.17374517374517373</v>
          </cell>
          <cell r="Z42">
            <v>-0.14015151515151514</v>
          </cell>
          <cell r="AA42">
            <v>-9.5588235294117641E-2</v>
          </cell>
          <cell r="AB42">
            <v>-0.24820143884892087</v>
          </cell>
        </row>
        <row r="43">
          <cell r="C43" t="str">
            <v>Cayman Islands</v>
          </cell>
          <cell r="D43">
            <v>2.6315789473684292E-2</v>
          </cell>
          <cell r="E43">
            <v>0</v>
          </cell>
          <cell r="F43">
            <v>-2.3026315789473673E-2</v>
          </cell>
          <cell r="G43">
            <v>-1.980198019801982E-2</v>
          </cell>
          <cell r="H43">
            <v>-1.980198019801982E-2</v>
          </cell>
          <cell r="I43">
            <v>-1.5974440894568676E-2</v>
          </cell>
          <cell r="J43">
            <v>6.3694267515923553E-3</v>
          </cell>
          <cell r="K43">
            <v>0</v>
          </cell>
          <cell r="L43">
            <v>-9.009009009009028E-3</v>
          </cell>
          <cell r="M43">
            <v>2.9411764705882248E-3</v>
          </cell>
          <cell r="N43">
            <v>2.9498525073745618E-3</v>
          </cell>
          <cell r="O43">
            <v>-0.21301775147928992</v>
          </cell>
          <cell r="P43">
            <v>-0.28616352201257866</v>
          </cell>
          <cell r="Q43">
            <v>-0.28797468354430378</v>
          </cell>
          <cell r="R43">
            <v>-0.34472049689440998</v>
          </cell>
          <cell r="S43">
            <v>-0.36728395061728392</v>
          </cell>
          <cell r="T43">
            <v>-0.32352941176470584</v>
          </cell>
          <cell r="U43">
            <v>-0.31208053691275173</v>
          </cell>
          <cell r="V43">
            <v>-0.3087248322147651</v>
          </cell>
          <cell r="W43">
            <v>-0.31666666666666665</v>
          </cell>
          <cell r="X43">
            <v>-0.31893687707641194</v>
          </cell>
          <cell r="Y43">
            <v>-0.24918032786885247</v>
          </cell>
          <cell r="Z43">
            <v>-0.24193548387096775</v>
          </cell>
          <cell r="AA43">
            <v>-0.23300970873786409</v>
          </cell>
          <cell r="AB43">
            <v>-0.34824281150159742</v>
          </cell>
        </row>
        <row r="44">
          <cell r="C44" t="str">
            <v>Central African Republic</v>
          </cell>
          <cell r="D44">
            <v>-0.19444444444444442</v>
          </cell>
          <cell r="E44">
            <v>-0.17142857142857137</v>
          </cell>
          <cell r="F44">
            <v>0</v>
          </cell>
          <cell r="G44">
            <v>-9.375E-2</v>
          </cell>
          <cell r="H44">
            <v>0</v>
          </cell>
          <cell r="I44">
            <v>-9.375E-2</v>
          </cell>
          <cell r="J44">
            <v>-3.3333333333333326E-2</v>
          </cell>
          <cell r="K44">
            <v>-9.375E-2</v>
          </cell>
          <cell r="L44">
            <v>-9.375E-2</v>
          </cell>
          <cell r="M44">
            <v>3.3333333333333437E-2</v>
          </cell>
          <cell r="N44">
            <v>-3.3333333333333326E-2</v>
          </cell>
          <cell r="O44">
            <v>-0.4</v>
          </cell>
          <cell r="P44">
            <v>-0.94285714285714284</v>
          </cell>
          <cell r="Q44">
            <v>-0.8666666666666667</v>
          </cell>
          <cell r="R44">
            <v>-1</v>
          </cell>
          <cell r="S44">
            <v>-1</v>
          </cell>
          <cell r="T44">
            <v>-0.8529411764705882</v>
          </cell>
          <cell r="U44">
            <v>-1</v>
          </cell>
          <cell r="V44">
            <v>-0.85185185185185186</v>
          </cell>
          <cell r="W44">
            <v>-0.29032258064516125</v>
          </cell>
          <cell r="X44">
            <v>-0.29032258064516125</v>
          </cell>
          <cell r="Y44">
            <v>-0.24242424242424243</v>
          </cell>
          <cell r="Z44">
            <v>-0.26470588235294112</v>
          </cell>
          <cell r="AA44">
            <v>-0.19444444444444442</v>
          </cell>
          <cell r="AB44">
            <v>-0.27777777777777779</v>
          </cell>
        </row>
        <row r="45">
          <cell r="C45" t="str">
            <v>Chad</v>
          </cell>
          <cell r="D45">
            <v>-6.9767441860465129E-2</v>
          </cell>
          <cell r="E45">
            <v>-0.33980582524271841</v>
          </cell>
          <cell r="F45">
            <v>5.3333333333333233E-2</v>
          </cell>
          <cell r="G45">
            <v>-0.18681318681318682</v>
          </cell>
          <cell r="H45">
            <v>4.1095890410958846E-2</v>
          </cell>
          <cell r="I45">
            <v>-0.21649484536082475</v>
          </cell>
          <cell r="J45">
            <v>5.4794520547945202E-2</v>
          </cell>
          <cell r="K45">
            <v>-0.20930232558139539</v>
          </cell>
          <cell r="L45">
            <v>-7.999999999999996E-2</v>
          </cell>
          <cell r="M45">
            <v>-7.4999999999999956E-2</v>
          </cell>
          <cell r="N45">
            <v>-0.19753086419753085</v>
          </cell>
          <cell r="O45">
            <v>-0.59756097560975607</v>
          </cell>
          <cell r="P45">
            <v>-0.37962962962962965</v>
          </cell>
          <cell r="Q45">
            <v>-0.16049382716049387</v>
          </cell>
          <cell r="R45">
            <v>-0.3366336633663366</v>
          </cell>
          <cell r="S45">
            <v>-0.23255813953488369</v>
          </cell>
          <cell r="T45">
            <v>-0.62385321100917435</v>
          </cell>
          <cell r="U45">
            <v>-0.55294117647058827</v>
          </cell>
          <cell r="V45">
            <v>-0.58095238095238089</v>
          </cell>
          <cell r="W45">
            <v>-0.34482758620689657</v>
          </cell>
          <cell r="X45">
            <v>-0.24691358024691357</v>
          </cell>
          <cell r="Y45">
            <v>-0.25555555555555554</v>
          </cell>
          <cell r="Z45">
            <v>-0.24444444444444446</v>
          </cell>
          <cell r="AA45">
            <v>-0.13636363636363635</v>
          </cell>
          <cell r="AB45">
            <v>-0.34408602150537637</v>
          </cell>
        </row>
        <row r="46">
          <cell r="C46" t="str">
            <v>Chile</v>
          </cell>
          <cell r="D46">
            <v>-3.6821110770174359E-3</v>
          </cell>
          <cell r="E46">
            <v>-2.4803387779794295E-2</v>
          </cell>
          <cell r="F46">
            <v>-1.2206286237412267E-2</v>
          </cell>
          <cell r="G46">
            <v>1.0726325467361297E-2</v>
          </cell>
          <cell r="H46">
            <v>5.4661402976010631E-3</v>
          </cell>
          <cell r="I46">
            <v>-5.7506053268765456E-3</v>
          </cell>
          <cell r="J46">
            <v>6.3253012048192225E-3</v>
          </cell>
          <cell r="K46">
            <v>1.7813267813267863E-2</v>
          </cell>
          <cell r="L46">
            <v>6.1129090255302998E-3</v>
          </cell>
          <cell r="M46">
            <v>-2.5145772594752147E-2</v>
          </cell>
          <cell r="N46">
            <v>-1.9744058500914097E-2</v>
          </cell>
          <cell r="O46">
            <v>-0.15936694884063307</v>
          </cell>
          <cell r="P46">
            <v>-0.74241245136186773</v>
          </cell>
          <cell r="Q46">
            <v>-0.8475107800862407</v>
          </cell>
          <cell r="R46">
            <v>-0.84773988897700236</v>
          </cell>
          <cell r="S46">
            <v>-0.83432895260852247</v>
          </cell>
          <cell r="T46">
            <v>-0.78145407052677407</v>
          </cell>
          <cell r="U46">
            <v>-0.80697384806973849</v>
          </cell>
          <cell r="V46">
            <v>-0.81904761904761902</v>
          </cell>
          <cell r="W46">
            <v>-0.81855670103092781</v>
          </cell>
          <cell r="X46">
            <v>-0.82305194805194803</v>
          </cell>
          <cell r="Y46">
            <v>-0.15956558061821224</v>
          </cell>
          <cell r="Z46">
            <v>-0.14195716085678289</v>
          </cell>
          <cell r="AA46">
            <v>-0.12918254976704791</v>
          </cell>
          <cell r="AB46">
            <v>-0.26166666666666671</v>
          </cell>
        </row>
        <row r="47">
          <cell r="C47" t="str">
            <v>China</v>
          </cell>
          <cell r="D47">
            <v>7.7536320237101553E-2</v>
          </cell>
          <cell r="E47">
            <v>8.8292486058115571E-2</v>
          </cell>
          <cell r="F47">
            <v>1.6284005742115637E-2</v>
          </cell>
          <cell r="G47">
            <v>-4.8128664537181454E-3</v>
          </cell>
          <cell r="H47">
            <v>-0.22664534360717103</v>
          </cell>
          <cell r="I47">
            <v>-0.63253643613364496</v>
          </cell>
          <cell r="J47">
            <v>-0.70797373276321895</v>
          </cell>
          <cell r="K47">
            <v>-0.62331798390998183</v>
          </cell>
          <cell r="L47">
            <v>-0.41557744785162576</v>
          </cell>
          <cell r="M47">
            <v>-0.42939723089832638</v>
          </cell>
          <cell r="N47">
            <v>-0.38730016832935488</v>
          </cell>
          <cell r="O47">
            <v>-0.37510100481971231</v>
          </cell>
          <cell r="P47">
            <v>-0.43933092805273255</v>
          </cell>
          <cell r="Q47">
            <v>-0.46190454729821084</v>
          </cell>
          <cell r="R47">
            <v>-0.42612818482798331</v>
          </cell>
          <cell r="S47">
            <v>-0.42369393812480649</v>
          </cell>
          <cell r="T47">
            <v>-0.3917660869802615</v>
          </cell>
          <cell r="U47">
            <v>-0.31982899580710877</v>
          </cell>
          <cell r="V47">
            <v>-0.21709868121873577</v>
          </cell>
          <cell r="W47">
            <v>-0.16105982843981792</v>
          </cell>
          <cell r="X47">
            <v>-0.15138818042702029</v>
          </cell>
          <cell r="Y47">
            <v>-1.2686450281460426E-2</v>
          </cell>
          <cell r="Z47">
            <v>-3.4115884563975185E-2</v>
          </cell>
          <cell r="AA47">
            <v>-3.5662853207152234E-2</v>
          </cell>
          <cell r="AB47">
            <v>-0.18193965135828682</v>
          </cell>
        </row>
        <row r="48">
          <cell r="C48" t="str">
            <v>Chinese Taipei</v>
          </cell>
          <cell r="D48">
            <v>0.10193955796120879</v>
          </cell>
          <cell r="E48">
            <v>7.3924731182795744E-2</v>
          </cell>
          <cell r="F48">
            <v>8.8319088319088301E-2</v>
          </cell>
          <cell r="G48">
            <v>-6.6666666666667096E-3</v>
          </cell>
          <cell r="H48">
            <v>-0.10113302559798576</v>
          </cell>
          <cell r="I48">
            <v>-0.19555843035791287</v>
          </cell>
          <cell r="J48">
            <v>-0.33604574444688806</v>
          </cell>
          <cell r="K48">
            <v>-0.38312555654496883</v>
          </cell>
          <cell r="L48">
            <v>-0.46005326231691079</v>
          </cell>
          <cell r="M48">
            <v>-0.50498338870431891</v>
          </cell>
          <cell r="N48">
            <v>-0.512103042416167</v>
          </cell>
          <cell r="O48">
            <v>-0.59184123484013229</v>
          </cell>
          <cell r="P48">
            <v>-0.61969111969111967</v>
          </cell>
          <cell r="Q48">
            <v>-0.69065786760156733</v>
          </cell>
          <cell r="R48">
            <v>-0.7172273190621814</v>
          </cell>
          <cell r="S48">
            <v>-0.7437600644122383</v>
          </cell>
          <cell r="T48">
            <v>-0.7281281281281281</v>
          </cell>
          <cell r="U48">
            <v>-0.74803308452693162</v>
          </cell>
          <cell r="V48">
            <v>-0.73743240536751453</v>
          </cell>
          <cell r="W48">
            <v>-0.73313373253493008</v>
          </cell>
          <cell r="X48">
            <v>-0.72781774580335734</v>
          </cell>
          <cell r="Y48">
            <v>-0.25989743589743586</v>
          </cell>
          <cell r="Z48">
            <v>-0.27243844320889599</v>
          </cell>
          <cell r="AA48">
            <v>-0.26789566581682678</v>
          </cell>
          <cell r="AB48">
            <v>-0.41993781577924605</v>
          </cell>
        </row>
        <row r="49">
          <cell r="C49" t="str">
            <v>Christmas Island, Indian Ocean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-0.33333333333333337</v>
          </cell>
          <cell r="I49">
            <v>0</v>
          </cell>
          <cell r="J49">
            <v>-0.33333333333333337</v>
          </cell>
          <cell r="K49">
            <v>0</v>
          </cell>
          <cell r="L49">
            <v>-0.33333333333333337</v>
          </cell>
          <cell r="M49">
            <v>0</v>
          </cell>
          <cell r="N49">
            <v>-0.33333333333333337</v>
          </cell>
          <cell r="O49">
            <v>0</v>
          </cell>
          <cell r="P49">
            <v>-0.33333333333333337</v>
          </cell>
          <cell r="Q49">
            <v>0</v>
          </cell>
          <cell r="R49">
            <v>-0.33333333333333337</v>
          </cell>
          <cell r="S49">
            <v>0</v>
          </cell>
          <cell r="T49">
            <v>-0.33333333333333337</v>
          </cell>
          <cell r="U49">
            <v>0</v>
          </cell>
          <cell r="V49">
            <v>-0.33333333333333337</v>
          </cell>
          <cell r="W49">
            <v>0</v>
          </cell>
          <cell r="X49">
            <v>-0.33333333333333337</v>
          </cell>
          <cell r="Y49">
            <v>0</v>
          </cell>
          <cell r="Z49">
            <v>-0.33333333333333337</v>
          </cell>
          <cell r="AA49">
            <v>0</v>
          </cell>
          <cell r="AB49">
            <v>-0.33333333333333337</v>
          </cell>
        </row>
        <row r="50">
          <cell r="C50" t="str">
            <v>Cocos (keeling) Islands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C51" t="str">
            <v>Colombia</v>
          </cell>
          <cell r="D51">
            <v>2.6518518518518608E-2</v>
          </cell>
          <cell r="E51">
            <v>7.9510229386236864E-2</v>
          </cell>
          <cell r="F51">
            <v>6.1319293899039895E-2</v>
          </cell>
          <cell r="G51">
            <v>5.5909302686752538E-2</v>
          </cell>
          <cell r="H51">
            <v>5.7570977917981159E-2</v>
          </cell>
          <cell r="I51">
            <v>8.3913869537681984E-2</v>
          </cell>
          <cell r="J51">
            <v>7.8976291411524624E-2</v>
          </cell>
          <cell r="K51">
            <v>0.12260177819372964</v>
          </cell>
          <cell r="L51">
            <v>0.12175123762376239</v>
          </cell>
          <cell r="M51">
            <v>0.13822658563191514</v>
          </cell>
          <cell r="N51">
            <v>0.11328186544824326</v>
          </cell>
          <cell r="O51">
            <v>-0.15603394091766187</v>
          </cell>
          <cell r="P51">
            <v>-0.56810317709971692</v>
          </cell>
          <cell r="Q51">
            <v>-0.79365079365079372</v>
          </cell>
          <cell r="R51">
            <v>-0.77206982543640901</v>
          </cell>
          <cell r="S51">
            <v>-0.79485959067110901</v>
          </cell>
          <cell r="T51">
            <v>-0.80879510309278357</v>
          </cell>
          <cell r="U51">
            <v>-0.69988855277822004</v>
          </cell>
          <cell r="V51">
            <v>-0.66750988142292489</v>
          </cell>
          <cell r="W51">
            <v>-0.67694497153700195</v>
          </cell>
          <cell r="X51">
            <v>-0.67439276075567545</v>
          </cell>
          <cell r="Y51">
            <v>-0.25740884406516684</v>
          </cell>
          <cell r="Z51">
            <v>-0.26164607828545916</v>
          </cell>
          <cell r="AA51">
            <v>-0.27198124267291912</v>
          </cell>
          <cell r="AB51">
            <v>-0.34941176470588231</v>
          </cell>
        </row>
        <row r="52">
          <cell r="C52" t="str">
            <v>Comoros</v>
          </cell>
          <cell r="D52">
            <v>-0.51916376306620204</v>
          </cell>
          <cell r="E52">
            <v>-0.51929824561403515</v>
          </cell>
          <cell r="F52">
            <v>-0.5106382978723405</v>
          </cell>
          <cell r="G52">
            <v>-0.51760563380281688</v>
          </cell>
          <cell r="H52">
            <v>-0.52430555555555558</v>
          </cell>
          <cell r="I52">
            <v>-0.53146853146853146</v>
          </cell>
          <cell r="J52">
            <v>-0.53146853146853146</v>
          </cell>
          <cell r="K52">
            <v>-0.52797202797202791</v>
          </cell>
          <cell r="L52">
            <v>-0.5053003533568905</v>
          </cell>
          <cell r="M52">
            <v>-0.50352112676056338</v>
          </cell>
          <cell r="N52">
            <v>-0.49647887323943662</v>
          </cell>
          <cell r="O52">
            <v>-0.37435897435897436</v>
          </cell>
          <cell r="P52">
            <v>-0.55156950672645744</v>
          </cell>
          <cell r="Q52">
            <v>-0.71493212669683259</v>
          </cell>
          <cell r="R52">
            <v>-0.68656716417910446</v>
          </cell>
          <cell r="S52">
            <v>-0.65656565656565657</v>
          </cell>
          <cell r="T52">
            <v>-0.66336633663366329</v>
          </cell>
          <cell r="U52">
            <v>-0.70792079207920788</v>
          </cell>
          <cell r="V52">
            <v>-0.66999999999999993</v>
          </cell>
          <cell r="W52">
            <v>-0.625</v>
          </cell>
          <cell r="X52">
            <v>-0.59000000000000008</v>
          </cell>
          <cell r="Y52">
            <v>-0.5641025641025641</v>
          </cell>
          <cell r="Z52">
            <v>-0.58128078817733986</v>
          </cell>
          <cell r="AA52">
            <v>-0.58823529411764708</v>
          </cell>
          <cell r="AB52">
            <v>-0.62686567164179108</v>
          </cell>
        </row>
        <row r="53">
          <cell r="C53" t="str">
            <v>Congo</v>
          </cell>
          <cell r="D53">
            <v>-0.12962962962962965</v>
          </cell>
          <cell r="E53">
            <v>-0.13749999999999996</v>
          </cell>
          <cell r="F53">
            <v>-0.20114942528735635</v>
          </cell>
          <cell r="G53">
            <v>-0.11392405063291144</v>
          </cell>
          <cell r="H53">
            <v>-0.11612903225806448</v>
          </cell>
          <cell r="I53">
            <v>-8.333333333333337E-2</v>
          </cell>
          <cell r="J53">
            <v>-0.12883435582822089</v>
          </cell>
          <cell r="K53">
            <v>-0.12422360248447206</v>
          </cell>
          <cell r="L53">
            <v>-0.13043478260869568</v>
          </cell>
          <cell r="M53">
            <v>-0.13580246913580252</v>
          </cell>
          <cell r="N53">
            <v>-0.16025641025641024</v>
          </cell>
          <cell r="O53">
            <v>-0.49668874172185429</v>
          </cell>
          <cell r="P53">
            <v>-0.64705882352941169</v>
          </cell>
          <cell r="Q53">
            <v>-0.6967741935483871</v>
          </cell>
          <cell r="R53">
            <v>-0.75</v>
          </cell>
          <cell r="S53">
            <v>-0.71895424836601307</v>
          </cell>
          <cell r="T53">
            <v>-0.64102564102564097</v>
          </cell>
          <cell r="U53">
            <v>-0.78947368421052633</v>
          </cell>
          <cell r="V53">
            <v>-0.68918918918918926</v>
          </cell>
          <cell r="W53">
            <v>-0.50331125827814571</v>
          </cell>
          <cell r="X53">
            <v>-0.48765432098765427</v>
          </cell>
          <cell r="Y53">
            <v>-0.37908496732026142</v>
          </cell>
          <cell r="Z53">
            <v>-0.37012987012987009</v>
          </cell>
          <cell r="AA53">
            <v>-0.26797385620915037</v>
          </cell>
          <cell r="AB53">
            <v>-0.35443037974683544</v>
          </cell>
        </row>
        <row r="54">
          <cell r="C54" t="str">
            <v>Congo Democratic Republic of</v>
          </cell>
          <cell r="D54">
            <v>0.35628742514970058</v>
          </cell>
          <cell r="E54">
            <v>0.41744548286604366</v>
          </cell>
          <cell r="F54">
            <v>0.47949526813880117</v>
          </cell>
          <cell r="G54">
            <v>0.45659163987138274</v>
          </cell>
          <cell r="H54">
            <v>0.44516129032258056</v>
          </cell>
          <cell r="I54">
            <v>0.45364238410596025</v>
          </cell>
          <cell r="J54">
            <v>0.43278688524590159</v>
          </cell>
          <cell r="K54">
            <v>0.52272727272727271</v>
          </cell>
          <cell r="L54">
            <v>0.44660194174757284</v>
          </cell>
          <cell r="M54">
            <v>0.54458598726114649</v>
          </cell>
          <cell r="N54">
            <v>0.79467680608365021</v>
          </cell>
          <cell r="O54">
            <v>0.8411214953271029</v>
          </cell>
          <cell r="P54">
            <v>0.24521072796934873</v>
          </cell>
          <cell r="Q54">
            <v>0.20141342756183755</v>
          </cell>
          <cell r="R54">
            <v>-0.34507042253521125</v>
          </cell>
          <cell r="S54">
            <v>-0.23735408560311289</v>
          </cell>
          <cell r="T54">
            <v>-0.31297709923664119</v>
          </cell>
          <cell r="U54">
            <v>-0.60687022900763354</v>
          </cell>
          <cell r="V54">
            <v>-0.56862745098039214</v>
          </cell>
          <cell r="W54">
            <v>-0.35177865612648218</v>
          </cell>
          <cell r="X54">
            <v>-0.27160493827160492</v>
          </cell>
          <cell r="Y54">
            <v>-0.26666666666666672</v>
          </cell>
          <cell r="Z54">
            <v>-0.31751824817518248</v>
          </cell>
          <cell r="AA54">
            <v>-0.23722627737226276</v>
          </cell>
          <cell r="AB54">
            <v>-0.29889298892988925</v>
          </cell>
        </row>
        <row r="55">
          <cell r="C55" t="str">
            <v>Cook Islands</v>
          </cell>
          <cell r="D55">
            <v>-1.2345679012345734E-2</v>
          </cell>
          <cell r="E55">
            <v>0</v>
          </cell>
          <cell r="F55">
            <v>-1.4285714285714235E-2</v>
          </cell>
          <cell r="G55">
            <v>-7.3529411764705843E-2</v>
          </cell>
          <cell r="H55">
            <v>-0.109375</v>
          </cell>
          <cell r="I55">
            <v>-0.109375</v>
          </cell>
          <cell r="J55">
            <v>-7.8125E-2</v>
          </cell>
          <cell r="K55">
            <v>-7.6923076923076872E-2</v>
          </cell>
          <cell r="L55">
            <v>-0.10447761194029848</v>
          </cell>
          <cell r="M55">
            <v>-0.10447761194029848</v>
          </cell>
          <cell r="N55">
            <v>-7.4626865671641784E-2</v>
          </cell>
          <cell r="O55">
            <v>-0.13043478260869568</v>
          </cell>
          <cell r="P55">
            <v>-0.22222222222222221</v>
          </cell>
          <cell r="Q55">
            <v>-0.27272727272727271</v>
          </cell>
          <cell r="R55">
            <v>-0.2857142857142857</v>
          </cell>
          <cell r="S55">
            <v>-0.29487179487179482</v>
          </cell>
          <cell r="T55">
            <v>-0.27631578947368418</v>
          </cell>
          <cell r="U55">
            <v>-0.27631578947368418</v>
          </cell>
          <cell r="V55">
            <v>-0.27631578947368418</v>
          </cell>
          <cell r="W55">
            <v>-0.27631578947368418</v>
          </cell>
          <cell r="X55">
            <v>-0.2857142857142857</v>
          </cell>
          <cell r="Y55">
            <v>-0.23376623376623373</v>
          </cell>
          <cell r="Z55">
            <v>-0.22368421052631582</v>
          </cell>
          <cell r="AA55">
            <v>-0.26249999999999996</v>
          </cell>
          <cell r="AB55">
            <v>-0.35365853658536583</v>
          </cell>
        </row>
        <row r="56">
          <cell r="C56" t="str">
            <v>Costa Rica</v>
          </cell>
          <cell r="D56">
            <v>0.15826330532212896</v>
          </cell>
          <cell r="E56">
            <v>0.15406162464985984</v>
          </cell>
          <cell r="F56">
            <v>0.15013966480446927</v>
          </cell>
          <cell r="G56">
            <v>2.3776223776223793E-2</v>
          </cell>
          <cell r="H56">
            <v>0.15438596491228074</v>
          </cell>
          <cell r="I56">
            <v>0.15363128491620115</v>
          </cell>
          <cell r="J56">
            <v>0.14801945795691451</v>
          </cell>
          <cell r="K56">
            <v>0.14613778705636737</v>
          </cell>
          <cell r="L56">
            <v>0.14768806073153895</v>
          </cell>
          <cell r="M56">
            <v>0.15672676837725374</v>
          </cell>
          <cell r="N56">
            <v>0.1629526462395543</v>
          </cell>
          <cell r="O56">
            <v>-0.34950773558368498</v>
          </cell>
          <cell r="P56">
            <v>-0.40519105984138426</v>
          </cell>
          <cell r="Q56">
            <v>-0.47242380261248185</v>
          </cell>
          <cell r="R56">
            <v>-0.49456127628716462</v>
          </cell>
          <cell r="S56">
            <v>-0.49927219796215427</v>
          </cell>
          <cell r="T56">
            <v>-0.64925954793452845</v>
          </cell>
          <cell r="U56">
            <v>-0.49121405750798719</v>
          </cell>
          <cell r="V56">
            <v>-0.5162755488266465</v>
          </cell>
          <cell r="W56">
            <v>-0.50567751703255115</v>
          </cell>
          <cell r="X56">
            <v>-0.50567751703255115</v>
          </cell>
          <cell r="Y56">
            <v>-0.86998514115898962</v>
          </cell>
          <cell r="Z56">
            <v>-0.84911242603550297</v>
          </cell>
          <cell r="AA56">
            <v>-0.82926829268292679</v>
          </cell>
          <cell r="AB56">
            <v>-0.8470066518847007</v>
          </cell>
        </row>
        <row r="57">
          <cell r="C57" t="str">
            <v>Cote D'Ivoire</v>
          </cell>
          <cell r="D57">
            <v>-0.46575342465753422</v>
          </cell>
          <cell r="E57">
            <v>-0.48209366391184572</v>
          </cell>
          <cell r="F57">
            <v>-0.48611111111111116</v>
          </cell>
          <cell r="G57">
            <v>-0.48333333333333328</v>
          </cell>
          <cell r="H57">
            <v>-0.47592067988668552</v>
          </cell>
          <cell r="I57">
            <v>-0.46571428571428575</v>
          </cell>
          <cell r="J57">
            <v>-0.46458923512747874</v>
          </cell>
          <cell r="K57">
            <v>-0.45977011494252873</v>
          </cell>
          <cell r="L57">
            <v>-0.4786324786324786</v>
          </cell>
          <cell r="M57">
            <v>-0.47093023255813948</v>
          </cell>
          <cell r="N57">
            <v>-0.50429799426934097</v>
          </cell>
          <cell r="O57">
            <v>-0.75366568914956011</v>
          </cell>
          <cell r="P57">
            <v>-0.88338192419825079</v>
          </cell>
          <cell r="Q57">
            <v>-0.86455331412103753</v>
          </cell>
          <cell r="R57">
            <v>-0.87965616045845274</v>
          </cell>
          <cell r="S57">
            <v>-0.89111747851002865</v>
          </cell>
          <cell r="T57">
            <v>-0.90173410404624277</v>
          </cell>
          <cell r="U57">
            <v>-0.88695652173913042</v>
          </cell>
          <cell r="V57">
            <v>-0.85465116279069764</v>
          </cell>
          <cell r="W57">
            <v>-0.79069767441860461</v>
          </cell>
          <cell r="X57">
            <v>-0.76878612716763006</v>
          </cell>
          <cell r="Y57">
            <v>-0.60778443113772451</v>
          </cell>
          <cell r="Z57">
            <v>-0.58112094395280234</v>
          </cell>
          <cell r="AA57">
            <v>-0.53257790368271962</v>
          </cell>
          <cell r="AB57">
            <v>-0.55240793201133143</v>
          </cell>
        </row>
        <row r="58">
          <cell r="C58" t="str">
            <v>Croatia</v>
          </cell>
          <cell r="D58">
            <v>-3.5639412997903519E-2</v>
          </cell>
          <cell r="E58">
            <v>-5.8212058212058215E-2</v>
          </cell>
          <cell r="F58">
            <v>-5.4968287526427018E-2</v>
          </cell>
          <cell r="G58">
            <v>-2.3655913978494647E-2</v>
          </cell>
          <cell r="H58">
            <v>-1.2987012987012991E-2</v>
          </cell>
          <cell r="I58">
            <v>-2.5423728813559365E-2</v>
          </cell>
          <cell r="J58">
            <v>2.1367521367521292E-3</v>
          </cell>
          <cell r="K58">
            <v>-1.6701461377870541E-2</v>
          </cell>
          <cell r="L58">
            <v>-4.1493775933609811E-3</v>
          </cell>
          <cell r="M58">
            <v>-4.3121149897330624E-2</v>
          </cell>
          <cell r="N58">
            <v>-7.2016460905349744E-2</v>
          </cell>
          <cell r="O58">
            <v>-0.52390057361376674</v>
          </cell>
          <cell r="P58">
            <v>-0.9288486416558861</v>
          </cell>
          <cell r="Q58">
            <v>-0.9658421672555948</v>
          </cell>
          <cell r="R58">
            <v>-0.97594142259414229</v>
          </cell>
          <cell r="S58">
            <v>-0.98058252427184467</v>
          </cell>
          <cell r="T58">
            <v>-0.97262617621899061</v>
          </cell>
          <cell r="U58">
            <v>-0.96169858451290591</v>
          </cell>
          <cell r="V58">
            <v>-0.87378640776699035</v>
          </cell>
          <cell r="W58">
            <v>-0.73573103987490229</v>
          </cell>
          <cell r="X58">
            <v>-0.65915915915915924</v>
          </cell>
          <cell r="Y58">
            <v>-0.12420606916019761</v>
          </cell>
          <cell r="Z58">
            <v>-0.11357340720221609</v>
          </cell>
          <cell r="AA58">
            <v>-0.10276679841897229</v>
          </cell>
          <cell r="AB58">
            <v>-0.23877917414721728</v>
          </cell>
        </row>
        <row r="59">
          <cell r="C59" t="str">
            <v>Cuba</v>
          </cell>
          <cell r="D59">
            <v>-8.7699316628701562E-2</v>
          </cell>
          <cell r="E59">
            <v>-0.123196448390677</v>
          </cell>
          <cell r="F59">
            <v>-0.13325991189427311</v>
          </cell>
          <cell r="G59">
            <v>-0.10722347629796836</v>
          </cell>
          <cell r="H59">
            <v>-0.1206703910614525</v>
          </cell>
          <cell r="I59">
            <v>-0.11086474501108645</v>
          </cell>
          <cell r="J59">
            <v>-0.11208791208791213</v>
          </cell>
          <cell r="K59">
            <v>-9.922822491730976E-2</v>
          </cell>
          <cell r="L59">
            <v>-0.12823275862068961</v>
          </cell>
          <cell r="M59">
            <v>-0.1180931744312026</v>
          </cell>
          <cell r="N59">
            <v>-0.13426423200859294</v>
          </cell>
          <cell r="O59">
            <v>-0.29836065573770487</v>
          </cell>
          <cell r="P59">
            <v>-0.62247191011235947</v>
          </cell>
          <cell r="Q59">
            <v>-0.72768878718535468</v>
          </cell>
          <cell r="R59">
            <v>-0.90794016110471809</v>
          </cell>
          <cell r="S59">
            <v>-0.93255813953488376</v>
          </cell>
          <cell r="T59">
            <v>-0.84422110552763818</v>
          </cell>
          <cell r="U59">
            <v>-0.77777777777777779</v>
          </cell>
          <cell r="V59">
            <v>-0.76728723404255317</v>
          </cell>
          <cell r="W59">
            <v>-0.73809523809523814</v>
          </cell>
          <cell r="X59">
            <v>-0.72533333333333339</v>
          </cell>
          <cell r="Y59">
            <v>-0.44900849858356939</v>
          </cell>
          <cell r="Z59">
            <v>-0.44195250659630603</v>
          </cell>
          <cell r="AA59">
            <v>-0.37236842105263157</v>
          </cell>
          <cell r="AB59">
            <v>-0.45609436435124506</v>
          </cell>
        </row>
        <row r="60">
          <cell r="C60" t="str">
            <v>Curacao</v>
          </cell>
          <cell r="D60">
            <v>0.27346938775510199</v>
          </cell>
          <cell r="E60">
            <v>0.28925619834710736</v>
          </cell>
          <cell r="F60">
            <v>0.30000000000000004</v>
          </cell>
          <cell r="G60">
            <v>0.30084745762711873</v>
          </cell>
          <cell r="H60">
            <v>0.47196261682243001</v>
          </cell>
          <cell r="I60">
            <v>0.28384279475982543</v>
          </cell>
          <cell r="J60">
            <v>0.27586206896551735</v>
          </cell>
          <cell r="K60">
            <v>0.5473684210526315</v>
          </cell>
          <cell r="L60">
            <v>0.55319148936170204</v>
          </cell>
          <cell r="M60">
            <v>0.59239130434782616</v>
          </cell>
          <cell r="N60">
            <v>0.64804469273743015</v>
          </cell>
          <cell r="O60">
            <v>0.30813953488372103</v>
          </cell>
          <cell r="P60">
            <v>-5.1724137931034475E-2</v>
          </cell>
          <cell r="Q60">
            <v>-7.999999999999996E-2</v>
          </cell>
          <cell r="R60">
            <v>-0.13978494623655913</v>
          </cell>
          <cell r="S60">
            <v>-0.14438502673796794</v>
          </cell>
          <cell r="T60">
            <v>-0.17127071823204421</v>
          </cell>
          <cell r="U60">
            <v>-0.13812154696132595</v>
          </cell>
          <cell r="V60">
            <v>-9.392265193370164E-2</v>
          </cell>
          <cell r="W60">
            <v>-0.30212765957446808</v>
          </cell>
          <cell r="X60">
            <v>-0.25974025974025972</v>
          </cell>
          <cell r="Y60">
            <v>-0.1004566210045662</v>
          </cell>
          <cell r="Z60">
            <v>-7.3394495412844041E-2</v>
          </cell>
          <cell r="AA60">
            <v>-0.10176991150442483</v>
          </cell>
          <cell r="AB60">
            <v>-0.22666666666666668</v>
          </cell>
        </row>
        <row r="61">
          <cell r="C61" t="str">
            <v>Cyprus</v>
          </cell>
          <cell r="D61">
            <v>6.7001675041876041E-2</v>
          </cell>
          <cell r="E61">
            <v>4.6153846153846212E-2</v>
          </cell>
          <cell r="F61">
            <v>4.7538200339558578E-2</v>
          </cell>
          <cell r="G61">
            <v>6.0034305317324232E-2</v>
          </cell>
          <cell r="H61">
            <v>4.6979865771812124E-2</v>
          </cell>
          <cell r="I61">
            <v>5.0243111831442366E-2</v>
          </cell>
          <cell r="J61">
            <v>8.2508250825082508E-2</v>
          </cell>
          <cell r="K61">
            <v>6.6006600660065917E-2</v>
          </cell>
          <cell r="L61">
            <v>6.290322580645169E-2</v>
          </cell>
          <cell r="M61">
            <v>4.2003231017770704E-2</v>
          </cell>
          <cell r="N61">
            <v>-3.6334913112164302E-2</v>
          </cell>
          <cell r="O61">
            <v>-0.75115207373271886</v>
          </cell>
          <cell r="P61">
            <v>-0.87019230769230771</v>
          </cell>
          <cell r="Q61">
            <v>-0.89540229885057476</v>
          </cell>
          <cell r="R61">
            <v>-0.90481400437636761</v>
          </cell>
          <cell r="S61">
            <v>-0.97071129707112969</v>
          </cell>
          <cell r="T61">
            <v>-0.93629929221435793</v>
          </cell>
          <cell r="U61">
            <v>-0.91437308868501532</v>
          </cell>
          <cell r="V61">
            <v>-0.8529411764705882</v>
          </cell>
          <cell r="W61">
            <v>-0.72372372372372373</v>
          </cell>
          <cell r="X61">
            <v>-0.64728312678741662</v>
          </cell>
          <cell r="Y61">
            <v>-0.22121486854034456</v>
          </cell>
          <cell r="Z61">
            <v>-0.2098214285714286</v>
          </cell>
          <cell r="AA61">
            <v>-0.15452930728241565</v>
          </cell>
          <cell r="AB61">
            <v>-0.26236749116607772</v>
          </cell>
        </row>
        <row r="62">
          <cell r="C62" t="str">
            <v>Czech Republic</v>
          </cell>
          <cell r="D62">
            <v>-8.7378640776698546E-3</v>
          </cell>
          <cell r="E62">
            <v>-1.025641025641022E-2</v>
          </cell>
          <cell r="F62">
            <v>-2.1406727828746197E-2</v>
          </cell>
          <cell r="G62">
            <v>-2.3185483870967749E-2</v>
          </cell>
          <cell r="H62">
            <v>-3.539823008849563E-2</v>
          </cell>
          <cell r="I62">
            <v>-3.2319391634980987E-2</v>
          </cell>
          <cell r="J62">
            <v>-2.6168224299065401E-2</v>
          </cell>
          <cell r="K62">
            <v>-1.7641597028783651E-2</v>
          </cell>
          <cell r="L62">
            <v>-3.6003600360036025E-2</v>
          </cell>
          <cell r="M62">
            <v>-6.1883408071748858E-2</v>
          </cell>
          <cell r="N62">
            <v>-0.32050134288272158</v>
          </cell>
          <cell r="O62">
            <v>-0.83453237410071945</v>
          </cell>
          <cell r="P62">
            <v>-0.95529801324503316</v>
          </cell>
          <cell r="Q62">
            <v>-0.95606183889340923</v>
          </cell>
          <cell r="R62">
            <v>-0.96153846153846156</v>
          </cell>
          <cell r="S62">
            <v>-0.95200629425649097</v>
          </cell>
          <cell r="T62">
            <v>-0.94383775351014043</v>
          </cell>
          <cell r="U62">
            <v>-0.9380804953560371</v>
          </cell>
          <cell r="V62">
            <v>-0.91327705295471984</v>
          </cell>
          <cell r="W62">
            <v>-0.68161094224924013</v>
          </cell>
          <cell r="X62">
            <v>-0.66784452296819796</v>
          </cell>
          <cell r="Y62">
            <v>-0.22549019607843135</v>
          </cell>
          <cell r="Z62">
            <v>-0.20038289725590297</v>
          </cell>
          <cell r="AA62">
            <v>-0.18088518280949328</v>
          </cell>
          <cell r="AB62">
            <v>-0.30857874519846351</v>
          </cell>
        </row>
        <row r="63">
          <cell r="C63" t="str">
            <v>Denmark</v>
          </cell>
          <cell r="D63">
            <v>3.3799533799533821E-2</v>
          </cell>
          <cell r="E63">
            <v>2.9377657518361078E-2</v>
          </cell>
          <cell r="F63">
            <v>1.2537993920972657E-2</v>
          </cell>
          <cell r="G63">
            <v>2.1052631578947434E-2</v>
          </cell>
          <cell r="H63">
            <v>1.591895803183796E-2</v>
          </cell>
          <cell r="I63">
            <v>8.2028337061894607E-3</v>
          </cell>
          <cell r="J63">
            <v>-2.0694493160294591E-2</v>
          </cell>
          <cell r="K63">
            <v>-6.8634179821550623E-3</v>
          </cell>
          <cell r="L63">
            <v>-1.9069923051187709E-2</v>
          </cell>
          <cell r="M63">
            <v>-4.7682560853617884E-2</v>
          </cell>
          <cell r="N63">
            <v>-0.18402662229617306</v>
          </cell>
          <cell r="O63">
            <v>-0.74033333333333329</v>
          </cell>
          <cell r="P63">
            <v>-0.89656240322081138</v>
          </cell>
          <cell r="Q63">
            <v>-0.89051987767584095</v>
          </cell>
          <cell r="R63">
            <v>-0.91152416356877319</v>
          </cell>
          <cell r="S63">
            <v>-0.9289531593838416</v>
          </cell>
          <cell r="T63">
            <v>-0.93413173652694614</v>
          </cell>
          <cell r="U63">
            <v>-0.91138088012139606</v>
          </cell>
          <cell r="V63">
            <v>-0.56356854211998764</v>
          </cell>
          <cell r="W63">
            <v>-0.49563909774436088</v>
          </cell>
          <cell r="X63">
            <v>-0.38903309539260222</v>
          </cell>
          <cell r="Y63">
            <v>-0.14583972981271109</v>
          </cell>
          <cell r="Z63">
            <v>-0.10423925667828104</v>
          </cell>
          <cell r="AA63">
            <v>-0.1066386302192851</v>
          </cell>
          <cell r="AB63">
            <v>-0.22481572481572487</v>
          </cell>
        </row>
        <row r="64">
          <cell r="C64" t="str">
            <v>Djibouti</v>
          </cell>
          <cell r="D64">
            <v>-0.2592592592592593</v>
          </cell>
          <cell r="E64">
            <v>-0.22784810126582278</v>
          </cell>
          <cell r="F64">
            <v>-0.22784810126582278</v>
          </cell>
          <cell r="G64">
            <v>-0.22784810126582278</v>
          </cell>
          <cell r="H64">
            <v>-0.38541666666666663</v>
          </cell>
          <cell r="I64">
            <v>-0.35789473684210527</v>
          </cell>
          <cell r="J64">
            <v>-0.35789473684210527</v>
          </cell>
          <cell r="K64">
            <v>-0.36842105263157898</v>
          </cell>
          <cell r="L64">
            <v>-0.40860215053763438</v>
          </cell>
          <cell r="M64">
            <v>-0.42105263157894735</v>
          </cell>
          <cell r="N64">
            <v>-0.45161290322580649</v>
          </cell>
          <cell r="O64">
            <v>-0.95402298850574718</v>
          </cell>
          <cell r="P64">
            <v>-0.95588235294117652</v>
          </cell>
          <cell r="Q64">
            <v>-0.95522388059701491</v>
          </cell>
          <cell r="R64">
            <v>-0.95833333333333337</v>
          </cell>
          <cell r="S64">
            <v>-0.96052631578947367</v>
          </cell>
          <cell r="T64">
            <v>-0.84210526315789469</v>
          </cell>
          <cell r="U64">
            <v>-0.96052631578947367</v>
          </cell>
          <cell r="V64">
            <v>-0.88</v>
          </cell>
          <cell r="W64">
            <v>-0.62337662337662336</v>
          </cell>
          <cell r="X64">
            <v>-0.47368421052631582</v>
          </cell>
          <cell r="Y64">
            <v>-8.4745762711864403E-2</v>
          </cell>
          <cell r="Z64">
            <v>-8.4745762711864403E-2</v>
          </cell>
          <cell r="AA64">
            <v>-5.1724137931034475E-2</v>
          </cell>
          <cell r="AB64">
            <v>-0.21052631578947367</v>
          </cell>
        </row>
        <row r="65">
          <cell r="C65" t="str">
            <v>Dominica</v>
          </cell>
          <cell r="D65">
            <v>0.19230769230769229</v>
          </cell>
          <cell r="E65">
            <v>0.13749999999999996</v>
          </cell>
          <cell r="F65">
            <v>0.13749999999999996</v>
          </cell>
          <cell r="G65">
            <v>0.13749999999999996</v>
          </cell>
          <cell r="H65">
            <v>0.13749999999999996</v>
          </cell>
          <cell r="I65">
            <v>0.20253164556962022</v>
          </cell>
          <cell r="J65">
            <v>0.18181818181818188</v>
          </cell>
          <cell r="K65">
            <v>0.15189873417721511</v>
          </cell>
          <cell r="L65">
            <v>0.14999999999999991</v>
          </cell>
          <cell r="M65">
            <v>0.17948717948717952</v>
          </cell>
          <cell r="N65">
            <v>0.16455696202531644</v>
          </cell>
          <cell r="O65">
            <v>0.1875</v>
          </cell>
          <cell r="P65">
            <v>0.16666666666666674</v>
          </cell>
          <cell r="Q65">
            <v>0.19230769230769229</v>
          </cell>
          <cell r="R65">
            <v>-0.23456790123456794</v>
          </cell>
          <cell r="S65">
            <v>0.16049382716049387</v>
          </cell>
          <cell r="T65">
            <v>-0.30000000000000004</v>
          </cell>
          <cell r="U65">
            <v>-0.20253164556962022</v>
          </cell>
          <cell r="V65">
            <v>-1.2987012987012991E-2</v>
          </cell>
          <cell r="W65">
            <v>0.22368421052631571</v>
          </cell>
          <cell r="X65">
            <v>0.22666666666666657</v>
          </cell>
          <cell r="Y65">
            <v>0.19480519480519476</v>
          </cell>
          <cell r="Z65">
            <v>0.19480519480519476</v>
          </cell>
          <cell r="AA65">
            <v>0.17721518987341778</v>
          </cell>
          <cell r="AB65">
            <v>2.4999999999999911E-2</v>
          </cell>
        </row>
        <row r="66">
          <cell r="C66" t="str">
            <v>Dominican Republic</v>
          </cell>
          <cell r="D66">
            <v>-3.9568345323740983E-2</v>
          </cell>
          <cell r="E66">
            <v>-3.1221303948576695E-2</v>
          </cell>
          <cell r="F66">
            <v>-1.5533980582524309E-2</v>
          </cell>
          <cell r="G66">
            <v>-2.9527559055118058E-2</v>
          </cell>
          <cell r="H66">
            <v>-5.8083252662149087E-2</v>
          </cell>
          <cell r="I66">
            <v>-4.514889529298749E-2</v>
          </cell>
          <cell r="J66">
            <v>-6.2037037037037002E-2</v>
          </cell>
          <cell r="K66">
            <v>-5.410447761194026E-2</v>
          </cell>
          <cell r="L66">
            <v>-5.3162236480293279E-2</v>
          </cell>
          <cell r="M66">
            <v>-5.3832116788321116E-2</v>
          </cell>
          <cell r="N66">
            <v>-7.4173369079535312E-2</v>
          </cell>
          <cell r="O66">
            <v>-0.37302325581395346</v>
          </cell>
          <cell r="P66">
            <v>-0.53905496624879468</v>
          </cell>
          <cell r="Q66">
            <v>-0.77665995975855129</v>
          </cell>
          <cell r="R66">
            <v>-0.84638860630722279</v>
          </cell>
          <cell r="S66">
            <v>-0.86742034943473789</v>
          </cell>
          <cell r="T66">
            <v>-0.80379746835443044</v>
          </cell>
          <cell r="U66">
            <v>-0.85968586387434553</v>
          </cell>
          <cell r="V66">
            <v>-0.85263157894736841</v>
          </cell>
          <cell r="W66">
            <v>-0.8319502074688796</v>
          </cell>
          <cell r="X66">
            <v>-0.82969885773624097</v>
          </cell>
          <cell r="Y66">
            <v>-0.58917835671342678</v>
          </cell>
          <cell r="Z66">
            <v>-0.4696823869104908</v>
          </cell>
          <cell r="AA66">
            <v>-0.38691588785046727</v>
          </cell>
          <cell r="AB66">
            <v>-0.46550137994480223</v>
          </cell>
        </row>
        <row r="67">
          <cell r="C67" t="str">
            <v>Ecuador</v>
          </cell>
          <cell r="D67">
            <v>-1.1353711790393017E-2</v>
          </cell>
          <cell r="E67">
            <v>-3.4965034965035446E-3</v>
          </cell>
          <cell r="F67">
            <v>1.5138023152270641E-2</v>
          </cell>
          <cell r="G67">
            <v>1.7969451931716174E-2</v>
          </cell>
          <cell r="H67">
            <v>1.072386058981234E-2</v>
          </cell>
          <cell r="I67">
            <v>1.7699115044247371E-3</v>
          </cell>
          <cell r="J67">
            <v>-1.4059753954305809E-2</v>
          </cell>
          <cell r="K67">
            <v>-1.7714791851195733E-2</v>
          </cell>
          <cell r="L67">
            <v>-2.420051858254102E-2</v>
          </cell>
          <cell r="M67">
            <v>-3.4923339011925014E-2</v>
          </cell>
          <cell r="N67">
            <v>-4.1911148365465167E-2</v>
          </cell>
          <cell r="O67">
            <v>-0.46627318718381117</v>
          </cell>
          <cell r="P67">
            <v>-0.67863105175292149</v>
          </cell>
          <cell r="Q67">
            <v>-0.72947277441659464</v>
          </cell>
          <cell r="R67">
            <v>-0.7270318021201414</v>
          </cell>
          <cell r="S67">
            <v>-0.73179091688089115</v>
          </cell>
          <cell r="T67">
            <v>-0.69380530973451326</v>
          </cell>
          <cell r="U67">
            <v>-0.73162393162393169</v>
          </cell>
          <cell r="V67">
            <v>-0.73116438356164382</v>
          </cell>
          <cell r="W67">
            <v>-0.71928251121076237</v>
          </cell>
          <cell r="X67">
            <v>-0.72639860139860146</v>
          </cell>
          <cell r="Y67">
            <v>-0.31271777003484325</v>
          </cell>
          <cell r="Z67">
            <v>-0.28435609334485734</v>
          </cell>
          <cell r="AA67">
            <v>-0.27589134125636672</v>
          </cell>
          <cell r="AB67">
            <v>-0.37521079258010115</v>
          </cell>
        </row>
        <row r="68">
          <cell r="C68" t="str">
            <v>Egypt</v>
          </cell>
          <cell r="D68">
            <v>8.6607142857142883E-2</v>
          </cell>
          <cell r="E68">
            <v>9.3044679871027158E-2</v>
          </cell>
          <cell r="F68">
            <v>9.9506947557149283E-2</v>
          </cell>
          <cell r="G68">
            <v>6.938954765041716E-2</v>
          </cell>
          <cell r="H68">
            <v>5.6313242410910735E-2</v>
          </cell>
          <cell r="I68">
            <v>6.2836624775583383E-2</v>
          </cell>
          <cell r="J68">
            <v>6.4761054041982957E-2</v>
          </cell>
          <cell r="K68">
            <v>4.286345558992477E-2</v>
          </cell>
          <cell r="L68">
            <v>5.2228725799189579E-2</v>
          </cell>
          <cell r="M68">
            <v>3.0017921146953341E-2</v>
          </cell>
          <cell r="N68">
            <v>-0.10679611650485432</v>
          </cell>
          <cell r="O68">
            <v>-0.6307895897662108</v>
          </cell>
          <cell r="P68">
            <v>-0.71813832100913433</v>
          </cell>
          <cell r="Q68">
            <v>-0.79772826561817389</v>
          </cell>
          <cell r="R68">
            <v>-0.77315381476948186</v>
          </cell>
          <cell r="S68">
            <v>-0.84553158705701081</v>
          </cell>
          <cell r="T68">
            <v>-0.80184887459807075</v>
          </cell>
          <cell r="U68">
            <v>-0.766770324300311</v>
          </cell>
          <cell r="V68">
            <v>-0.60178655383168778</v>
          </cell>
          <cell r="W68">
            <v>-0.37166900420757365</v>
          </cell>
          <cell r="X68">
            <v>-0.34655250112663361</v>
          </cell>
          <cell r="Y68">
            <v>-0.14010232192050376</v>
          </cell>
          <cell r="Z68">
            <v>-0.13217054263565886</v>
          </cell>
          <cell r="AA68">
            <v>-6.1918251719951467E-2</v>
          </cell>
          <cell r="AB68">
            <v>-0.18927701056051993</v>
          </cell>
        </row>
        <row r="69">
          <cell r="C69" t="str">
            <v>El Salvador</v>
          </cell>
          <cell r="D69">
            <v>-1.4553014553014498E-2</v>
          </cell>
          <cell r="E69">
            <v>-2.1097046413502074E-2</v>
          </cell>
          <cell r="F69">
            <v>-4.4117647058823484E-2</v>
          </cell>
          <cell r="G69">
            <v>-5.2966101694915224E-2</v>
          </cell>
          <cell r="H69">
            <v>-3.8216560509554132E-2</v>
          </cell>
          <cell r="I69">
            <v>-3.6559139784946182E-2</v>
          </cell>
          <cell r="J69">
            <v>-5.3078556263269627E-2</v>
          </cell>
          <cell r="K69">
            <v>-5.7324840764331197E-2</v>
          </cell>
          <cell r="L69">
            <v>-3.8379530916844318E-2</v>
          </cell>
          <cell r="M69">
            <v>-4.051172707889128E-2</v>
          </cell>
          <cell r="N69">
            <v>-6.5075921908893664E-2</v>
          </cell>
          <cell r="O69">
            <v>-0.7830802603036876</v>
          </cell>
          <cell r="P69">
            <v>-0.8855291576673866</v>
          </cell>
          <cell r="Q69">
            <v>-0.91683991683991684</v>
          </cell>
          <cell r="R69">
            <v>-0.9337474120082816</v>
          </cell>
          <cell r="S69">
            <v>-0.93291404612159323</v>
          </cell>
          <cell r="T69">
            <v>-0.91789473684210532</v>
          </cell>
          <cell r="U69">
            <v>-0.98547717842323657</v>
          </cell>
          <cell r="V69">
            <v>-0.97286012526096033</v>
          </cell>
          <cell r="W69">
            <v>-0.82780082987551862</v>
          </cell>
          <cell r="X69">
            <v>-0.82489451476793252</v>
          </cell>
          <cell r="Y69">
            <v>-0.68763102725366876</v>
          </cell>
          <cell r="Z69">
            <v>-0.6728395061728395</v>
          </cell>
          <cell r="AA69">
            <v>-0.65853658536585358</v>
          </cell>
          <cell r="AB69">
            <v>-0.7079107505070994</v>
          </cell>
        </row>
        <row r="70">
          <cell r="C70" t="str">
            <v>Equatorial Guinea</v>
          </cell>
          <cell r="D70">
            <v>3.9772727272727293E-2</v>
          </cell>
          <cell r="E70">
            <v>2.8409090909090828E-2</v>
          </cell>
          <cell r="F70">
            <v>4.117647058823537E-2</v>
          </cell>
          <cell r="G70">
            <v>0.22068965517241379</v>
          </cell>
          <cell r="H70">
            <v>7.1856287425149601E-2</v>
          </cell>
          <cell r="I70">
            <v>5.8823529411764719E-2</v>
          </cell>
          <cell r="J70">
            <v>7.1428571428571397E-2</v>
          </cell>
          <cell r="K70">
            <v>6.9767441860465018E-2</v>
          </cell>
          <cell r="L70">
            <v>4.5977011494252817E-2</v>
          </cell>
          <cell r="M70">
            <v>4.5977011494252817E-2</v>
          </cell>
          <cell r="N70">
            <v>3.4682080924855585E-2</v>
          </cell>
          <cell r="O70">
            <v>0.26271186440677963</v>
          </cell>
          <cell r="P70">
            <v>-0.18023255813953487</v>
          </cell>
          <cell r="Q70">
            <v>-0.21546961325966851</v>
          </cell>
          <cell r="R70">
            <v>-0.48066298342541436</v>
          </cell>
          <cell r="S70">
            <v>-0.46022727272727271</v>
          </cell>
          <cell r="T70">
            <v>-0.96855345911949686</v>
          </cell>
          <cell r="U70">
            <v>-1</v>
          </cell>
          <cell r="V70">
            <v>-0.74522292993630579</v>
          </cell>
          <cell r="W70">
            <v>-0.33121019108280259</v>
          </cell>
          <cell r="X70">
            <v>-0.32278481012658233</v>
          </cell>
          <cell r="Y70">
            <v>-0.21604938271604934</v>
          </cell>
          <cell r="Z70">
            <v>-0.23809523809523814</v>
          </cell>
          <cell r="AA70">
            <v>-0.2068965517241379</v>
          </cell>
          <cell r="AB70">
            <v>-0.26923076923076927</v>
          </cell>
        </row>
        <row r="71">
          <cell r="C71" t="str">
            <v>Eritrea</v>
          </cell>
          <cell r="D71">
            <v>-0.1063829787234043</v>
          </cell>
          <cell r="E71">
            <v>-9.9999999999999978E-2</v>
          </cell>
          <cell r="F71">
            <v>-0.10416666666666663</v>
          </cell>
          <cell r="G71">
            <v>0</v>
          </cell>
          <cell r="H71">
            <v>-2.2727272727272707E-2</v>
          </cell>
          <cell r="I71">
            <v>0</v>
          </cell>
          <cell r="J71">
            <v>4.8780487804878092E-2</v>
          </cell>
          <cell r="K71">
            <v>4.7619047619047672E-2</v>
          </cell>
          <cell r="L71">
            <v>8.3333333333333259E-2</v>
          </cell>
          <cell r="M71">
            <v>-8.333333333333337E-2</v>
          </cell>
          <cell r="N71">
            <v>5.7142857142857162E-2</v>
          </cell>
          <cell r="O71">
            <v>-3.0303030303030276E-2</v>
          </cell>
          <cell r="P71">
            <v>-0.66666666666666674</v>
          </cell>
          <cell r="Q71">
            <v>-0.7142857142857143</v>
          </cell>
          <cell r="R71">
            <v>-0.51351351351351349</v>
          </cell>
          <cell r="S71">
            <v>-0.5</v>
          </cell>
          <cell r="T71">
            <v>-0.40476190476190477</v>
          </cell>
          <cell r="U71">
            <v>-0.66666666666666674</v>
          </cell>
          <cell r="V71">
            <v>-0.52173913043478259</v>
          </cell>
          <cell r="W71">
            <v>-0.20408163265306123</v>
          </cell>
          <cell r="X71">
            <v>-4.2553191489361653E-2</v>
          </cell>
          <cell r="Y71">
            <v>-1.9230769230769273E-2</v>
          </cell>
          <cell r="Z71">
            <v>6.5217391304347894E-2</v>
          </cell>
          <cell r="AA71">
            <v>0.11363636363636354</v>
          </cell>
          <cell r="AB71">
            <v>-4.4444444444444398E-2</v>
          </cell>
        </row>
        <row r="72">
          <cell r="C72" t="str">
            <v>Estonia</v>
          </cell>
          <cell r="D72">
            <v>-0.1484375</v>
          </cell>
          <cell r="E72">
            <v>-7.2829131652661028E-2</v>
          </cell>
          <cell r="F72">
            <v>-6.4245810055865937E-2</v>
          </cell>
          <cell r="G72">
            <v>-2.0408163265306145E-2</v>
          </cell>
          <cell r="H72">
            <v>-6.3711911357340667E-2</v>
          </cell>
          <cell r="I72">
            <v>-4.6703296703296648E-2</v>
          </cell>
          <cell r="J72">
            <v>-5.0938337801608613E-2</v>
          </cell>
          <cell r="K72">
            <v>-6.7024128686327122E-2</v>
          </cell>
          <cell r="L72">
            <v>-4.5454545454545414E-2</v>
          </cell>
          <cell r="M72">
            <v>-5.1075268817204256E-2</v>
          </cell>
          <cell r="N72">
            <v>-7.3569482288828314E-2</v>
          </cell>
          <cell r="O72">
            <v>-0.76344086021505375</v>
          </cell>
          <cell r="P72">
            <v>-0.83627204030226698</v>
          </cell>
          <cell r="Q72">
            <v>-0.8254364089775561</v>
          </cell>
          <cell r="R72">
            <v>-0.95538057742782156</v>
          </cell>
          <cell r="S72">
            <v>-0.96717171717171713</v>
          </cell>
          <cell r="T72">
            <v>-0.96113989637305697</v>
          </cell>
          <cell r="U72">
            <v>-0.94987468671679198</v>
          </cell>
          <cell r="V72">
            <v>-0.84900990099009899</v>
          </cell>
          <cell r="W72">
            <v>-0.8044554455445545</v>
          </cell>
          <cell r="X72">
            <v>-0.76884422110552764</v>
          </cell>
          <cell r="Y72">
            <v>-0.53504672897196259</v>
          </cell>
          <cell r="Z72">
            <v>-0.48505747126436782</v>
          </cell>
          <cell r="AA72">
            <v>-0.47540983606557374</v>
          </cell>
          <cell r="AB72">
            <v>-0.53956834532374098</v>
          </cell>
        </row>
        <row r="73">
          <cell r="C73" t="str">
            <v>Eswatini</v>
          </cell>
          <cell r="D73">
            <v>-0.23529411764705888</v>
          </cell>
          <cell r="E73">
            <v>0</v>
          </cell>
          <cell r="F73">
            <v>-0.7142857142857143</v>
          </cell>
          <cell r="G73">
            <v>-0.73913043478260865</v>
          </cell>
          <cell r="H73">
            <v>-0.30434782608695654</v>
          </cell>
          <cell r="I73">
            <v>-0.26086956521739135</v>
          </cell>
          <cell r="J73">
            <v>-0.26086956521739135</v>
          </cell>
          <cell r="K73">
            <v>-0.26086956521739135</v>
          </cell>
          <cell r="L73">
            <v>-0.13043478260869568</v>
          </cell>
          <cell r="M73">
            <v>-0.13043478260869568</v>
          </cell>
          <cell r="N73">
            <v>4.5454545454545414E-2</v>
          </cell>
          <cell r="O73">
            <v>-0.78260869565217395</v>
          </cell>
          <cell r="P73">
            <v>-1</v>
          </cell>
          <cell r="Q73">
            <v>-1</v>
          </cell>
          <cell r="R73">
            <v>-1</v>
          </cell>
          <cell r="S73">
            <v>-0.85</v>
          </cell>
          <cell r="T73">
            <v>-0.95</v>
          </cell>
          <cell r="U73">
            <v>-1</v>
          </cell>
          <cell r="V73">
            <v>-1</v>
          </cell>
          <cell r="W73">
            <v>-1</v>
          </cell>
          <cell r="X73">
            <v>-1</v>
          </cell>
          <cell r="Y73">
            <v>-1</v>
          </cell>
          <cell r="Z73">
            <v>-0.39130434782608692</v>
          </cell>
          <cell r="AA73">
            <v>4.5454545454545414E-2</v>
          </cell>
          <cell r="AB73">
            <v>-0.17391304347826086</v>
          </cell>
        </row>
        <row r="74">
          <cell r="C74" t="str">
            <v>Ethiopia</v>
          </cell>
          <cell r="D74">
            <v>0.13274336283185839</v>
          </cell>
          <cell r="E74">
            <v>0.14335664335664333</v>
          </cell>
          <cell r="F74">
            <v>0.15540944411237301</v>
          </cell>
          <cell r="G74">
            <v>0.13571428571428568</v>
          </cell>
          <cell r="H74">
            <v>0.12589928057553967</v>
          </cell>
          <cell r="I74">
            <v>0.12198067632850251</v>
          </cell>
          <cell r="J74">
            <v>0.15103532277710108</v>
          </cell>
          <cell r="K74">
            <v>0.14277108433734931</v>
          </cell>
          <cell r="L74">
            <v>0.13636363636363646</v>
          </cell>
          <cell r="M74">
            <v>0.12111990261716366</v>
          </cell>
          <cell r="N74">
            <v>9.5865787896944221E-2</v>
          </cell>
          <cell r="O74">
            <v>-0.22811197141155448</v>
          </cell>
          <cell r="P74">
            <v>-0.27851140456182477</v>
          </cell>
          <cell r="Q74">
            <v>-0.74880668257756566</v>
          </cell>
          <cell r="R74">
            <v>-0.78896882494004794</v>
          </cell>
          <cell r="S74">
            <v>-0.80769230769230771</v>
          </cell>
          <cell r="T74">
            <v>-0.77427184466019416</v>
          </cell>
          <cell r="U74">
            <v>-0.88567916410571601</v>
          </cell>
          <cell r="V74">
            <v>-0.71972956361401352</v>
          </cell>
          <cell r="W74">
            <v>-0.45443349753694584</v>
          </cell>
          <cell r="X74">
            <v>-0.43965517241379315</v>
          </cell>
          <cell r="Y74">
            <v>0.26845637583892623</v>
          </cell>
          <cell r="Z74">
            <v>0.26152912621359214</v>
          </cell>
          <cell r="AA74">
            <v>0.24610778443113768</v>
          </cell>
          <cell r="AB74">
            <v>7.489514679448761E-2</v>
          </cell>
        </row>
        <row r="75">
          <cell r="C75" t="str">
            <v>Falkland Islands</v>
          </cell>
          <cell r="D75">
            <v>0.5</v>
          </cell>
          <cell r="E75">
            <v>0.66666666666666674</v>
          </cell>
          <cell r="F75">
            <v>0.5</v>
          </cell>
          <cell r="G75">
            <v>0.5</v>
          </cell>
          <cell r="H75">
            <v>0.5</v>
          </cell>
          <cell r="I75">
            <v>0.33333333333333326</v>
          </cell>
          <cell r="J75">
            <v>1</v>
          </cell>
          <cell r="K75">
            <v>0.5</v>
          </cell>
          <cell r="L75">
            <v>0.5</v>
          </cell>
          <cell r="M75">
            <v>0</v>
          </cell>
          <cell r="N75">
            <v>1</v>
          </cell>
          <cell r="O75">
            <v>0.5</v>
          </cell>
          <cell r="P75">
            <v>-0.5</v>
          </cell>
          <cell r="Q75">
            <v>-0.5</v>
          </cell>
          <cell r="R75">
            <v>-1</v>
          </cell>
          <cell r="S75">
            <v>-1</v>
          </cell>
          <cell r="T75">
            <v>-1</v>
          </cell>
          <cell r="U75">
            <v>-1</v>
          </cell>
          <cell r="V75">
            <v>-1</v>
          </cell>
          <cell r="W75">
            <v>0</v>
          </cell>
          <cell r="X75">
            <v>-0.5</v>
          </cell>
          <cell r="Y75">
            <v>0.5</v>
          </cell>
          <cell r="Z75">
            <v>0</v>
          </cell>
          <cell r="AA75">
            <v>1.5</v>
          </cell>
          <cell r="AB75">
            <v>0.5</v>
          </cell>
        </row>
        <row r="76">
          <cell r="C76" t="str">
            <v>Faroe Islands</v>
          </cell>
          <cell r="D76">
            <v>0.29166666666666674</v>
          </cell>
          <cell r="E76">
            <v>0.29166666666666674</v>
          </cell>
          <cell r="F76">
            <v>0.34782608695652173</v>
          </cell>
          <cell r="G76">
            <v>0.29166666666666674</v>
          </cell>
          <cell r="H76">
            <v>0.33333333333333326</v>
          </cell>
          <cell r="I76">
            <v>0.39130434782608692</v>
          </cell>
          <cell r="J76">
            <v>0.33333333333333326</v>
          </cell>
          <cell r="K76">
            <v>0.33333333333333326</v>
          </cell>
          <cell r="L76">
            <v>0.33333333333333326</v>
          </cell>
          <cell r="M76">
            <v>0.23076923076923084</v>
          </cell>
          <cell r="N76">
            <v>0.23076923076923084</v>
          </cell>
          <cell r="O76">
            <v>-0.72</v>
          </cell>
          <cell r="P76">
            <v>-0.25806451612903225</v>
          </cell>
          <cell r="Q76">
            <v>-0.51282051282051277</v>
          </cell>
          <cell r="R76">
            <v>-0.25714285714285712</v>
          </cell>
          <cell r="S76">
            <v>-0.34146341463414631</v>
          </cell>
          <cell r="T76">
            <v>-0.82857142857142851</v>
          </cell>
          <cell r="U76">
            <v>-0.6</v>
          </cell>
          <cell r="V76">
            <v>5.2631578947368363E-2</v>
          </cell>
          <cell r="W76">
            <v>0.16216216216216206</v>
          </cell>
          <cell r="X76">
            <v>4.8780487804878092E-2</v>
          </cell>
          <cell r="Y76">
            <v>0.1707317073170731</v>
          </cell>
          <cell r="Z76">
            <v>0.31578947368421062</v>
          </cell>
          <cell r="AA76">
            <v>8.163265306122458E-2</v>
          </cell>
          <cell r="AB76">
            <v>2.0408163265306145E-2</v>
          </cell>
        </row>
        <row r="77">
          <cell r="C77" t="str">
            <v>Fiji</v>
          </cell>
          <cell r="D77">
            <v>0</v>
          </cell>
          <cell r="E77">
            <v>1.1709601873536313E-2</v>
          </cell>
          <cell r="F77">
            <v>2.3364485981307581E-3</v>
          </cell>
          <cell r="G77">
            <v>-2.7431421446383997E-2</v>
          </cell>
          <cell r="H77">
            <v>-1.0471204188481686E-2</v>
          </cell>
          <cell r="I77">
            <v>-4.8717948717948767E-2</v>
          </cell>
          <cell r="J77">
            <v>-4.9350649350649367E-2</v>
          </cell>
          <cell r="K77">
            <v>-0.10025706940874035</v>
          </cell>
          <cell r="L77">
            <v>-5.4123711340206215E-2</v>
          </cell>
          <cell r="M77">
            <v>-4.1343669250646031E-2</v>
          </cell>
          <cell r="N77">
            <v>-7.3604060913705638E-2</v>
          </cell>
          <cell r="O77">
            <v>-0.30150753768844218</v>
          </cell>
          <cell r="P77">
            <v>-0.44417475728155342</v>
          </cell>
          <cell r="Q77">
            <v>-0.91428571428571426</v>
          </cell>
          <cell r="R77">
            <v>-0.95744680851063835</v>
          </cell>
          <cell r="S77">
            <v>-0.93160377358490565</v>
          </cell>
          <cell r="T77">
            <v>-0.90291262135922334</v>
          </cell>
          <cell r="U77">
            <v>-0.82962962962962961</v>
          </cell>
          <cell r="V77">
            <v>-0.82133995037220842</v>
          </cell>
          <cell r="W77">
            <v>-0.80295566502463056</v>
          </cell>
          <cell r="X77">
            <v>-0.80769230769230771</v>
          </cell>
          <cell r="Y77">
            <v>-0.24641148325358853</v>
          </cell>
          <cell r="Z77">
            <v>-0.25882352941176467</v>
          </cell>
          <cell r="AA77">
            <v>-0.19864559819413097</v>
          </cell>
          <cell r="AB77">
            <v>-0.30957683741648112</v>
          </cell>
        </row>
        <row r="78">
          <cell r="C78" t="str">
            <v>Finland</v>
          </cell>
          <cell r="D78">
            <v>-2.5472473294987696E-2</v>
          </cell>
          <cell r="E78">
            <v>-4.9484536082474717E-3</v>
          </cell>
          <cell r="F78">
            <v>4.0799673602620601E-4</v>
          </cell>
          <cell r="G78">
            <v>5.218787635487665E-3</v>
          </cell>
          <cell r="H78">
            <v>0</v>
          </cell>
          <cell r="I78">
            <v>3.5756853396902155E-3</v>
          </cell>
          <cell r="J78">
            <v>-5.6406124093473231E-3</v>
          </cell>
          <cell r="K78">
            <v>-2.4183796856106499E-3</v>
          </cell>
          <cell r="L78">
            <v>1.8815052041633251E-2</v>
          </cell>
          <cell r="M78">
            <v>9.6579476861167191E-3</v>
          </cell>
          <cell r="N78">
            <v>-2.2553362867498983E-2</v>
          </cell>
          <cell r="O78">
            <v>-0.71763754045307437</v>
          </cell>
          <cell r="P78">
            <v>-0.86220789685737309</v>
          </cell>
          <cell r="Q78">
            <v>-0.9137724550898203</v>
          </cell>
          <cell r="R78">
            <v>-0.90730214254481856</v>
          </cell>
          <cell r="S78">
            <v>-0.90220949263502459</v>
          </cell>
          <cell r="T78">
            <v>-0.90274841437632136</v>
          </cell>
          <cell r="U78">
            <v>-0.89691135178499803</v>
          </cell>
          <cell r="V78">
            <v>-0.82122905027932958</v>
          </cell>
          <cell r="W78">
            <v>-0.81713147410358566</v>
          </cell>
          <cell r="X78">
            <v>-0.76838546069315306</v>
          </cell>
          <cell r="Y78">
            <v>-0.67389589905362768</v>
          </cell>
          <cell r="Z78">
            <v>-0.67113036628593936</v>
          </cell>
          <cell r="AA78">
            <v>-0.66396933560477001</v>
          </cell>
          <cell r="AB78">
            <v>-0.70629067245119304</v>
          </cell>
        </row>
        <row r="79">
          <cell r="C79" t="str">
            <v>France</v>
          </cell>
          <cell r="D79">
            <v>1.3682822288163532E-2</v>
          </cell>
          <cell r="E79">
            <v>-1.4539714190761055E-2</v>
          </cell>
          <cell r="F79">
            <v>-1.8945975014478367E-2</v>
          </cell>
          <cell r="G79">
            <v>-1.2640564721333014E-2</v>
          </cell>
          <cell r="H79">
            <v>-3.0088639505569947E-3</v>
          </cell>
          <cell r="I79">
            <v>6.2176165803109473E-3</v>
          </cell>
          <cell r="J79">
            <v>1.6557350823868111E-2</v>
          </cell>
          <cell r="K79">
            <v>-4.6255682271313381E-3</v>
          </cell>
          <cell r="L79">
            <v>-2.0135799578553049E-2</v>
          </cell>
          <cell r="M79">
            <v>-3.8308609879186384E-2</v>
          </cell>
          <cell r="N79">
            <v>-0.13665320074580489</v>
          </cell>
          <cell r="O79">
            <v>-0.41270688734650296</v>
          </cell>
          <cell r="P79">
            <v>-0.81412815481426348</v>
          </cell>
          <cell r="Q79">
            <v>-0.86972901520158619</v>
          </cell>
          <cell r="R79">
            <v>-0.92062656311701985</v>
          </cell>
          <cell r="S79">
            <v>-0.91702169495969066</v>
          </cell>
          <cell r="T79">
            <v>-0.9176805078021687</v>
          </cell>
          <cell r="U79">
            <v>-0.91906426458725465</v>
          </cell>
          <cell r="V79">
            <v>-0.89280295534006204</v>
          </cell>
          <cell r="W79">
            <v>-0.73604658771183673</v>
          </cell>
          <cell r="X79">
            <v>-0.69978057051665665</v>
          </cell>
          <cell r="Y79">
            <v>-0.16725183530162779</v>
          </cell>
          <cell r="Z79">
            <v>-0.14574132492113567</v>
          </cell>
          <cell r="AA79">
            <v>-0.11487281054651233</v>
          </cell>
          <cell r="AB79">
            <v>-0.24289215686274512</v>
          </cell>
        </row>
        <row r="80">
          <cell r="C80" t="str">
            <v>French Guiana</v>
          </cell>
          <cell r="D80">
            <v>-0.125</v>
          </cell>
          <cell r="E80">
            <v>2.7027027027026973E-2</v>
          </cell>
          <cell r="F80">
            <v>-0.23255813953488369</v>
          </cell>
          <cell r="G80">
            <v>-0.23255813953488369</v>
          </cell>
          <cell r="H80">
            <v>-0.13043478260869568</v>
          </cell>
          <cell r="I80">
            <v>-0.14583333333333337</v>
          </cell>
          <cell r="J80">
            <v>-0.18000000000000005</v>
          </cell>
          <cell r="K80">
            <v>-0.14000000000000001</v>
          </cell>
          <cell r="L80">
            <v>-0.22641509433962259</v>
          </cell>
          <cell r="M80">
            <v>-0.14893617021276595</v>
          </cell>
          <cell r="N80">
            <v>-0.11627906976744184</v>
          </cell>
          <cell r="O80">
            <v>-0.32499999999999996</v>
          </cell>
          <cell r="P80">
            <v>-0.89189189189189189</v>
          </cell>
          <cell r="Q80">
            <v>-0.90476190476190477</v>
          </cell>
          <cell r="R80">
            <v>-0.91304347826086962</v>
          </cell>
          <cell r="S80">
            <v>-0.90476190476190477</v>
          </cell>
          <cell r="T80">
            <v>-0.90909090909090906</v>
          </cell>
          <cell r="U80">
            <v>-0.7857142857142857</v>
          </cell>
          <cell r="V80">
            <v>-0.77500000000000002</v>
          </cell>
          <cell r="W80">
            <v>-0.76315789473684215</v>
          </cell>
          <cell r="X80">
            <v>-0.76315789473684215</v>
          </cell>
          <cell r="Y80">
            <v>-0.42105263157894735</v>
          </cell>
          <cell r="Z80">
            <v>-0.15000000000000002</v>
          </cell>
          <cell r="AA80">
            <v>-2.5000000000000022E-2</v>
          </cell>
          <cell r="AB80">
            <v>-0.13636363636363635</v>
          </cell>
        </row>
        <row r="81">
          <cell r="C81" t="str">
            <v>French Polynesia</v>
          </cell>
          <cell r="D81">
            <v>1.0714285714285676E-2</v>
          </cell>
          <cell r="E81">
            <v>0.11241970021413272</v>
          </cell>
          <cell r="F81">
            <v>0.14175257731958757</v>
          </cell>
          <cell r="G81">
            <v>5.7142857142857162E-2</v>
          </cell>
          <cell r="H81">
            <v>6.6502463054187277E-2</v>
          </cell>
          <cell r="I81">
            <v>7.1090047393365108E-3</v>
          </cell>
          <cell r="J81">
            <v>3.0439684329199634E-2</v>
          </cell>
          <cell r="K81">
            <v>5.8892815076560634E-2</v>
          </cell>
          <cell r="L81">
            <v>2.6250000000000107E-2</v>
          </cell>
          <cell r="M81">
            <v>2.3284313725490113E-2</v>
          </cell>
          <cell r="N81">
            <v>1.4035087719298289E-2</v>
          </cell>
          <cell r="O81">
            <v>7.0422535211267512E-2</v>
          </cell>
          <cell r="P81">
            <v>-0.96924603174603174</v>
          </cell>
          <cell r="Q81">
            <v>-0.97338403041825095</v>
          </cell>
          <cell r="R81">
            <v>-0.96669666966696666</v>
          </cell>
          <cell r="S81">
            <v>-0.97735849056603774</v>
          </cell>
          <cell r="T81">
            <v>-0.96741573033707862</v>
          </cell>
          <cell r="U81">
            <v>-0.99023861171366589</v>
          </cell>
          <cell r="V81">
            <v>-0.78517722878625129</v>
          </cell>
          <cell r="W81">
            <v>-0.62554112554112562</v>
          </cell>
          <cell r="X81">
            <v>-0.59206510681586977</v>
          </cell>
          <cell r="Y81">
            <v>-0.52492370295015256</v>
          </cell>
          <cell r="Z81">
            <v>-0.54565217391304355</v>
          </cell>
          <cell r="AA81">
            <v>-0.54912663755458513</v>
          </cell>
          <cell r="AB81">
            <v>-0.58818181818181814</v>
          </cell>
        </row>
        <row r="82">
          <cell r="C82" t="str">
            <v>Gabon</v>
          </cell>
          <cell r="D82">
            <v>-0.10152284263959388</v>
          </cell>
          <cell r="E82">
            <v>-5.8823529411764719E-2</v>
          </cell>
          <cell r="F82">
            <v>-5.8823529411764719E-2</v>
          </cell>
          <cell r="G82">
            <v>-5.8823529411764719E-2</v>
          </cell>
          <cell r="H82">
            <v>-4.8648648648648596E-2</v>
          </cell>
          <cell r="I82">
            <v>4.3478260869565188E-2</v>
          </cell>
          <cell r="J82">
            <v>6.5573770491803351E-2</v>
          </cell>
          <cell r="K82">
            <v>8.9385474860335101E-2</v>
          </cell>
          <cell r="L82">
            <v>4.4444444444444509E-2</v>
          </cell>
          <cell r="M82">
            <v>5.3763440860215006E-3</v>
          </cell>
          <cell r="N82">
            <v>-1.0810810810810811E-2</v>
          </cell>
          <cell r="O82">
            <v>-0.45029239766081874</v>
          </cell>
          <cell r="P82">
            <v>-0.29651162790697672</v>
          </cell>
          <cell r="Q82">
            <v>-0.88764044943820219</v>
          </cell>
          <cell r="R82">
            <v>-0.89784946236559138</v>
          </cell>
          <cell r="S82">
            <v>-0.86187845303867405</v>
          </cell>
          <cell r="T82">
            <v>-0.87845303867403313</v>
          </cell>
          <cell r="U82">
            <v>-0.952755905511811</v>
          </cell>
          <cell r="V82">
            <v>-0.71578947368421053</v>
          </cell>
          <cell r="W82">
            <v>-0.7359550561797753</v>
          </cell>
          <cell r="X82">
            <v>-0.71270718232044206</v>
          </cell>
          <cell r="Y82">
            <v>-0.58918918918918917</v>
          </cell>
          <cell r="Z82">
            <v>-0.60209424083769636</v>
          </cell>
          <cell r="AA82">
            <v>-0.55135135135135127</v>
          </cell>
          <cell r="AB82">
            <v>-0.65591397849462363</v>
          </cell>
        </row>
        <row r="83">
          <cell r="C83" t="str">
            <v>Gambia</v>
          </cell>
          <cell r="D83">
            <v>-3.1914893617021267E-2</v>
          </cell>
          <cell r="E83">
            <v>-5.3191489361702149E-2</v>
          </cell>
          <cell r="F83">
            <v>-5.3763440860215006E-2</v>
          </cell>
          <cell r="G83">
            <v>-7.3684210526315796E-2</v>
          </cell>
          <cell r="H83">
            <v>-2.2222222222222254E-2</v>
          </cell>
          <cell r="I83">
            <v>-7.6923076923076872E-2</v>
          </cell>
          <cell r="J83">
            <v>-1.1235955056179803E-2</v>
          </cell>
          <cell r="K83">
            <v>-6.3829787234042534E-2</v>
          </cell>
          <cell r="L83">
            <v>-6.3829787234042534E-2</v>
          </cell>
          <cell r="M83">
            <v>-6.4516129032258118E-2</v>
          </cell>
          <cell r="N83">
            <v>-0.10752688172043012</v>
          </cell>
          <cell r="O83">
            <v>-0.51136363636363635</v>
          </cell>
          <cell r="P83">
            <v>-0.67088607594936711</v>
          </cell>
          <cell r="Q83">
            <v>-0.70512820512820507</v>
          </cell>
          <cell r="R83">
            <v>-0.73134328358208955</v>
          </cell>
          <cell r="S83">
            <v>-0.79365079365079372</v>
          </cell>
          <cell r="T83">
            <v>-0.72881355932203395</v>
          </cell>
          <cell r="U83">
            <v>-0.77192982456140347</v>
          </cell>
          <cell r="V83">
            <v>-0.66666666666666674</v>
          </cell>
          <cell r="W83">
            <v>-0.3928571428571429</v>
          </cell>
          <cell r="X83">
            <v>-0.34545454545454546</v>
          </cell>
          <cell r="Y83">
            <v>7.2727272727272751E-2</v>
          </cell>
          <cell r="Z83">
            <v>7.2727272727272751E-2</v>
          </cell>
          <cell r="AA83">
            <v>7.2727272727272751E-2</v>
          </cell>
          <cell r="AB83">
            <v>5.555555555555558E-2</v>
          </cell>
        </row>
        <row r="84">
          <cell r="C84" t="str">
            <v>Georgia</v>
          </cell>
          <cell r="D84">
            <v>-0.13477088948787064</v>
          </cell>
          <cell r="E84">
            <v>-0.10434782608695647</v>
          </cell>
          <cell r="F84">
            <v>-0.10746268656716418</v>
          </cell>
          <cell r="G84">
            <v>-0.11538461538461542</v>
          </cell>
          <cell r="H84">
            <v>-9.7560975609756073E-2</v>
          </cell>
          <cell r="I84">
            <v>-0.12612612612612617</v>
          </cell>
          <cell r="J84">
            <v>-0.13823529411764701</v>
          </cell>
          <cell r="K84">
            <v>-0.18338108882521487</v>
          </cell>
          <cell r="L84">
            <v>-0.19166666666666665</v>
          </cell>
          <cell r="M84">
            <v>-0.1797752808988764</v>
          </cell>
          <cell r="N84">
            <v>-0.34972677595628421</v>
          </cell>
          <cell r="O84">
            <v>-0.64935064935064934</v>
          </cell>
          <cell r="P84">
            <v>-0.65450121654501214</v>
          </cell>
          <cell r="Q84">
            <v>-0.6518518518518519</v>
          </cell>
          <cell r="R84">
            <v>-0.66097560975609748</v>
          </cell>
          <cell r="S84">
            <v>-0.85308056872037918</v>
          </cell>
          <cell r="T84">
            <v>-0.7890995260663507</v>
          </cell>
          <cell r="U84">
            <v>-0.66262135922330101</v>
          </cell>
          <cell r="V84">
            <v>-0.63950617283950617</v>
          </cell>
          <cell r="W84">
            <v>-0.55825242718446599</v>
          </cell>
          <cell r="X84">
            <v>-0.36720554272517325</v>
          </cell>
          <cell r="Y84">
            <v>-0.19799999999999995</v>
          </cell>
          <cell r="Z84">
            <v>-0.19762845849802368</v>
          </cell>
          <cell r="AA84">
            <v>-0.20970873786407762</v>
          </cell>
          <cell r="AB84">
            <v>-0.35370370370370374</v>
          </cell>
        </row>
        <row r="85">
          <cell r="C85" t="str">
            <v>Germany</v>
          </cell>
          <cell r="D85">
            <v>-8.5733062492531986E-2</v>
          </cell>
          <cell r="E85">
            <v>-8.7596481780649826E-2</v>
          </cell>
          <cell r="F85">
            <v>-8.4039126804246744E-2</v>
          </cell>
          <cell r="G85">
            <v>-8.4541917226742092E-2</v>
          </cell>
          <cell r="H85">
            <v>-7.8613053613053596E-2</v>
          </cell>
          <cell r="I85">
            <v>-7.9540282203004131E-2</v>
          </cell>
          <cell r="J85">
            <v>-6.5698832906347815E-2</v>
          </cell>
          <cell r="K85">
            <v>-5.1315639594486817E-2</v>
          </cell>
          <cell r="L85">
            <v>-4.9994325275224183E-2</v>
          </cell>
          <cell r="M85">
            <v>-0.15378065395095364</v>
          </cell>
          <cell r="N85">
            <v>-0.30232558139534882</v>
          </cell>
          <cell r="O85">
            <v>-0.71876580677794633</v>
          </cell>
          <cell r="P85">
            <v>-0.88561643835616444</v>
          </cell>
          <cell r="Q85">
            <v>-0.92602213101979325</v>
          </cell>
          <cell r="R85">
            <v>-0.92453653217012</v>
          </cell>
          <cell r="S85">
            <v>-0.93697568227673356</v>
          </cell>
          <cell r="T85">
            <v>-0.92862680241872964</v>
          </cell>
          <cell r="U85">
            <v>-0.90476671379519291</v>
          </cell>
          <cell r="V85">
            <v>-0.88592814371257489</v>
          </cell>
          <cell r="W85">
            <v>-0.80227024883513431</v>
          </cell>
          <cell r="X85">
            <v>-0.75811134314674278</v>
          </cell>
          <cell r="Y85">
            <v>-0.15222905082430982</v>
          </cell>
          <cell r="Z85">
            <v>-0.15992970123022843</v>
          </cell>
          <cell r="AA85">
            <v>-0.10943452233710982</v>
          </cell>
          <cell r="AB85">
            <v>-0.25020398368130548</v>
          </cell>
        </row>
        <row r="86">
          <cell r="C86" t="str">
            <v>Ghana</v>
          </cell>
          <cell r="D86">
            <v>0.40043763676148791</v>
          </cell>
          <cell r="E86">
            <v>0.31905781584582438</v>
          </cell>
          <cell r="F86">
            <v>0.31330472103004281</v>
          </cell>
          <cell r="G86">
            <v>0.31896551724137923</v>
          </cell>
          <cell r="H86">
            <v>0.31956521739130439</v>
          </cell>
          <cell r="I86">
            <v>0.33552631578947367</v>
          </cell>
          <cell r="J86">
            <v>0.35526315789473695</v>
          </cell>
          <cell r="K86">
            <v>0.3108695652173914</v>
          </cell>
          <cell r="L86">
            <v>0.28787878787878785</v>
          </cell>
          <cell r="M86">
            <v>0.2558139534883721</v>
          </cell>
          <cell r="N86">
            <v>0.25420168067226889</v>
          </cell>
          <cell r="O86">
            <v>-0.11228813559322037</v>
          </cell>
          <cell r="P86">
            <v>-0.3833333333333333</v>
          </cell>
          <cell r="Q86">
            <v>-0.42975206611570249</v>
          </cell>
          <cell r="R86">
            <v>-0.40928270042194093</v>
          </cell>
          <cell r="S86">
            <v>-0.40041067761806981</v>
          </cell>
          <cell r="T86">
            <v>-0.41443298969072162</v>
          </cell>
          <cell r="U86">
            <v>-0.42268041237113407</v>
          </cell>
          <cell r="V86">
            <v>-7.2314049586776896E-2</v>
          </cell>
          <cell r="W86">
            <v>-5.1689860834990053E-2</v>
          </cell>
          <cell r="X86">
            <v>-2.4048096192384794E-2</v>
          </cell>
          <cell r="Y86">
            <v>7.0850202429149745E-2</v>
          </cell>
          <cell r="Z86">
            <v>8.2494969818913466E-2</v>
          </cell>
          <cell r="AA86">
            <v>-6.4846416382252525E-2</v>
          </cell>
          <cell r="AB86">
            <v>-0.15292096219931273</v>
          </cell>
        </row>
        <row r="87">
          <cell r="C87" t="str">
            <v>Gibraltar</v>
          </cell>
          <cell r="D87">
            <v>0.39999999999999991</v>
          </cell>
          <cell r="E87">
            <v>-0.15384615384615385</v>
          </cell>
          <cell r="F87">
            <v>-0.11538461538461542</v>
          </cell>
          <cell r="G87">
            <v>-0.18518518518518523</v>
          </cell>
          <cell r="H87">
            <v>-0.25</v>
          </cell>
          <cell r="I87">
            <v>-0.125</v>
          </cell>
          <cell r="J87">
            <v>-9.375E-2</v>
          </cell>
          <cell r="K87">
            <v>-6.4516129032258118E-2</v>
          </cell>
          <cell r="L87">
            <v>-9.375E-2</v>
          </cell>
          <cell r="M87">
            <v>-9.6774193548387122E-2</v>
          </cell>
          <cell r="N87">
            <v>-0.1875</v>
          </cell>
          <cell r="O87">
            <v>-0.36363636363636365</v>
          </cell>
          <cell r="P87">
            <v>-0.48648648648648651</v>
          </cell>
          <cell r="Q87">
            <v>-0.89473684210526316</v>
          </cell>
          <cell r="R87">
            <v>-0.89473684210526316</v>
          </cell>
          <cell r="S87">
            <v>-0.90243902439024393</v>
          </cell>
          <cell r="T87">
            <v>-0.90243902439024393</v>
          </cell>
          <cell r="U87">
            <v>-0.90697674418604657</v>
          </cell>
          <cell r="V87">
            <v>-0.90697674418604657</v>
          </cell>
          <cell r="W87">
            <v>-0.40476190476190477</v>
          </cell>
          <cell r="X87">
            <v>-0.41860465116279066</v>
          </cell>
          <cell r="Y87">
            <v>-0.16279069767441856</v>
          </cell>
          <cell r="Z87">
            <v>-0.16279069767441856</v>
          </cell>
          <cell r="AA87">
            <v>-0.13953488372093026</v>
          </cell>
          <cell r="AB87">
            <v>-0.33333333333333337</v>
          </cell>
        </row>
        <row r="88">
          <cell r="C88" t="str">
            <v>Greece</v>
          </cell>
          <cell r="D88">
            <v>-2.5784753363228718E-2</v>
          </cell>
          <cell r="E88">
            <v>-6.2475896644813012E-2</v>
          </cell>
          <cell r="F88">
            <v>-6.4366033346258233E-2</v>
          </cell>
          <cell r="G88">
            <v>-6.0970873786407753E-2</v>
          </cell>
          <cell r="H88">
            <v>-6.6692367000770969E-2</v>
          </cell>
          <cell r="I88">
            <v>-6.3455657492354711E-2</v>
          </cell>
          <cell r="J88">
            <v>-5.5618615209988675E-2</v>
          </cell>
          <cell r="K88">
            <v>-5.6475903614457867E-2</v>
          </cell>
          <cell r="L88">
            <v>-2.0462296324365248E-2</v>
          </cell>
          <cell r="M88">
            <v>-3.2992036405005698E-2</v>
          </cell>
          <cell r="N88">
            <v>-0.14067861227601985</v>
          </cell>
          <cell r="O88">
            <v>-0.61168258633357819</v>
          </cell>
          <cell r="P88">
            <v>-0.735705950991832</v>
          </cell>
          <cell r="Q88">
            <v>-0.77152227384531291</v>
          </cell>
          <cell r="R88">
            <v>-0.82363315696649031</v>
          </cell>
          <cell r="S88">
            <v>-0.84313258747917164</v>
          </cell>
          <cell r="T88">
            <v>-0.84321340964840552</v>
          </cell>
          <cell r="U88">
            <v>-0.81170233654034951</v>
          </cell>
          <cell r="V88">
            <v>-0.78824430403982382</v>
          </cell>
          <cell r="W88">
            <v>-0.67456156210450191</v>
          </cell>
          <cell r="X88">
            <v>-0.64357912178956089</v>
          </cell>
          <cell r="Y88">
            <v>-0.1300179748352307</v>
          </cell>
          <cell r="Z88">
            <v>-0.11439060205580032</v>
          </cell>
          <cell r="AA88">
            <v>-8.3513008480667006E-2</v>
          </cell>
          <cell r="AB88">
            <v>-0.20661958177537743</v>
          </cell>
        </row>
        <row r="89">
          <cell r="C89" t="str">
            <v>Greenland</v>
          </cell>
          <cell r="D89">
            <v>7.9439252336448662E-2</v>
          </cell>
          <cell r="E89">
            <v>3.3573141486810565E-2</v>
          </cell>
          <cell r="F89">
            <v>0.11027568922305764</v>
          </cell>
          <cell r="G89">
            <v>9.5238095238095344E-2</v>
          </cell>
          <cell r="H89">
            <v>3.6231884057970953E-2</v>
          </cell>
          <cell r="I89">
            <v>5.2884615384615419E-2</v>
          </cell>
          <cell r="J89">
            <v>1.1415525114155223E-2</v>
          </cell>
          <cell r="K89">
            <v>6.9930069930070893E-3</v>
          </cell>
          <cell r="L89">
            <v>2.9279279279279313E-2</v>
          </cell>
          <cell r="M89">
            <v>0.1635071090047393</v>
          </cell>
          <cell r="N89">
            <v>9.1722595078299829E-2</v>
          </cell>
          <cell r="O89">
            <v>-0.97649572649572647</v>
          </cell>
          <cell r="P89">
            <v>-0.65458015267175573</v>
          </cell>
          <cell r="Q89">
            <v>-0.70783132530120474</v>
          </cell>
          <cell r="R89">
            <v>0.28132387706855799</v>
          </cell>
          <cell r="S89">
            <v>-0.63687150837988826</v>
          </cell>
          <cell r="T89">
            <v>-0.46322067594433403</v>
          </cell>
          <cell r="U89">
            <v>-0.37704918032786883</v>
          </cell>
          <cell r="V89">
            <v>-0.31779661016949157</v>
          </cell>
          <cell r="W89">
            <v>-0.41942148760330578</v>
          </cell>
          <cell r="X89">
            <v>-0.37931034482758619</v>
          </cell>
          <cell r="Y89">
            <v>-2.9876977152899831E-2</v>
          </cell>
          <cell r="Z89">
            <v>3.4071550255536653E-2</v>
          </cell>
          <cell r="AA89">
            <v>-1.7944535073409429E-2</v>
          </cell>
          <cell r="AB89">
            <v>-0.17877906976744184</v>
          </cell>
        </row>
        <row r="90">
          <cell r="C90" t="str">
            <v>Grenada, Windward Islands</v>
          </cell>
          <cell r="D90">
            <v>5.4794520547945202E-2</v>
          </cell>
          <cell r="E90">
            <v>7.0422535211267512E-2</v>
          </cell>
          <cell r="F90">
            <v>7.0422535211267512E-2</v>
          </cell>
          <cell r="G90">
            <v>7.0422535211267512E-2</v>
          </cell>
          <cell r="H90">
            <v>7.0422535211267512E-2</v>
          </cell>
          <cell r="I90">
            <v>7.0422535211267512E-2</v>
          </cell>
          <cell r="J90">
            <v>8.4507042253521236E-2</v>
          </cell>
          <cell r="K90">
            <v>8.4507042253521236E-2</v>
          </cell>
          <cell r="L90">
            <v>5.6338028169014009E-2</v>
          </cell>
          <cell r="M90">
            <v>5.6338028169014009E-2</v>
          </cell>
          <cell r="N90">
            <v>5.6338028169014009E-2</v>
          </cell>
          <cell r="O90">
            <v>-5.633802816901412E-2</v>
          </cell>
          <cell r="P90">
            <v>-0.20289855072463769</v>
          </cell>
          <cell r="Q90">
            <v>-0.60294117647058831</v>
          </cell>
          <cell r="R90">
            <v>-1</v>
          </cell>
          <cell r="S90">
            <v>-1</v>
          </cell>
          <cell r="T90">
            <v>-0.93939393939393945</v>
          </cell>
          <cell r="U90">
            <v>-0.91176470588235292</v>
          </cell>
          <cell r="V90">
            <v>-0.60294117647058831</v>
          </cell>
          <cell r="W90">
            <v>-0.27941176470588236</v>
          </cell>
          <cell r="X90">
            <v>-0.22058823529411764</v>
          </cell>
          <cell r="Y90">
            <v>-8.6956521739130488E-2</v>
          </cell>
          <cell r="Z90">
            <v>0</v>
          </cell>
          <cell r="AA90">
            <v>1.4285714285714235E-2</v>
          </cell>
          <cell r="AB90">
            <v>-9.9999999999999978E-2</v>
          </cell>
        </row>
        <row r="91">
          <cell r="C91" t="str">
            <v>Guadeloupe</v>
          </cell>
          <cell r="D91">
            <v>-2.6229508196721318E-2</v>
          </cell>
          <cell r="E91">
            <v>0</v>
          </cell>
          <cell r="F91">
            <v>-4.4368600682593851E-2</v>
          </cell>
          <cell r="G91">
            <v>-5.7432432432432456E-2</v>
          </cell>
          <cell r="H91">
            <v>-2.3411371237458178E-2</v>
          </cell>
          <cell r="I91">
            <v>1.3513513513513598E-2</v>
          </cell>
          <cell r="J91">
            <v>6.6006600660066805E-3</v>
          </cell>
          <cell r="K91">
            <v>-2.8391167192429068E-2</v>
          </cell>
          <cell r="L91">
            <v>-0.10526315789473684</v>
          </cell>
          <cell r="M91">
            <v>-2.0134228187919434E-2</v>
          </cell>
          <cell r="N91">
            <v>-5.4794520547945202E-2</v>
          </cell>
          <cell r="O91">
            <v>-0.13214285714285712</v>
          </cell>
          <cell r="P91">
            <v>-0.32234432234432231</v>
          </cell>
          <cell r="Q91">
            <v>-0.32481751824817517</v>
          </cell>
          <cell r="R91">
            <v>-0.35763888888888884</v>
          </cell>
          <cell r="S91">
            <v>-0.40338983050847455</v>
          </cell>
          <cell r="T91">
            <v>-0.41379310344827591</v>
          </cell>
          <cell r="U91">
            <v>-0.15116279069767447</v>
          </cell>
          <cell r="V91">
            <v>0.10671936758893286</v>
          </cell>
          <cell r="W91">
            <v>0.15789473684210531</v>
          </cell>
          <cell r="X91">
            <v>0.125</v>
          </cell>
          <cell r="Y91">
            <v>-4.4534412955465563E-2</v>
          </cell>
          <cell r="Z91">
            <v>8.0321285140563248E-3</v>
          </cell>
          <cell r="AA91">
            <v>5.46875E-2</v>
          </cell>
          <cell r="AB91">
            <v>-2.8112449799196804E-2</v>
          </cell>
        </row>
        <row r="92">
          <cell r="C92" t="str">
            <v>Guam</v>
          </cell>
          <cell r="D92">
            <v>5.4054054054053946E-2</v>
          </cell>
          <cell r="E92">
            <v>8.8803088803088848E-2</v>
          </cell>
          <cell r="F92">
            <v>0.10424710424710426</v>
          </cell>
          <cell r="G92">
            <v>0.10424710424710426</v>
          </cell>
          <cell r="H92">
            <v>9.1954022988505857E-2</v>
          </cell>
          <cell r="I92">
            <v>7.7220077220077288E-2</v>
          </cell>
          <cell r="J92">
            <v>2.3346303501945442E-2</v>
          </cell>
          <cell r="K92">
            <v>1.5444015444015413E-2</v>
          </cell>
          <cell r="L92">
            <v>-6.589147286821706E-2</v>
          </cell>
          <cell r="M92">
            <v>-0.17110266159695819</v>
          </cell>
          <cell r="N92">
            <v>-0.15272727272727271</v>
          </cell>
          <cell r="O92">
            <v>-0.44852941176470584</v>
          </cell>
          <cell r="P92">
            <v>-0.64257028112449799</v>
          </cell>
          <cell r="Q92">
            <v>-0.78297872340425534</v>
          </cell>
          <cell r="R92">
            <v>-0.75641025641025639</v>
          </cell>
          <cell r="S92">
            <v>-0.79253112033195017</v>
          </cell>
          <cell r="T92">
            <v>-0.79467680608365021</v>
          </cell>
          <cell r="U92">
            <v>-0.73529411764705888</v>
          </cell>
          <cell r="V92">
            <v>-0.69827586206896552</v>
          </cell>
          <cell r="W92">
            <v>-0.66523605150214593</v>
          </cell>
          <cell r="X92">
            <v>-0.69527896995708161</v>
          </cell>
          <cell r="Y92">
            <v>-0.45493562231759654</v>
          </cell>
          <cell r="Z92">
            <v>-0.42918454935622319</v>
          </cell>
          <cell r="AA92">
            <v>-0.41201716738197425</v>
          </cell>
          <cell r="AB92">
            <v>-0.50214592274678105</v>
          </cell>
        </row>
        <row r="93">
          <cell r="C93" t="str">
            <v>Guatemala</v>
          </cell>
          <cell r="D93">
            <v>-5.1835853131749432E-2</v>
          </cell>
          <cell r="E93">
            <v>-5.6034482758620663E-2</v>
          </cell>
          <cell r="F93">
            <v>-6.2098501070663836E-2</v>
          </cell>
          <cell r="G93">
            <v>-4.1942604856512133E-2</v>
          </cell>
          <cell r="H93">
            <v>-4.3859649122807043E-2</v>
          </cell>
          <cell r="I93">
            <v>-3.3185840707964598E-2</v>
          </cell>
          <cell r="J93">
            <v>-2.6490066225165587E-2</v>
          </cell>
          <cell r="K93">
            <v>-4.1484716157205281E-2</v>
          </cell>
          <cell r="L93">
            <v>-1.7391304347826098E-2</v>
          </cell>
          <cell r="M93">
            <v>-1.9480519480519431E-2</v>
          </cell>
          <cell r="N93">
            <v>-6.277056277056281E-2</v>
          </cell>
          <cell r="O93">
            <v>-0.43201754385964908</v>
          </cell>
          <cell r="P93">
            <v>-0.50993377483443703</v>
          </cell>
          <cell r="Q93">
            <v>-0.65458422174840081</v>
          </cell>
          <cell r="R93">
            <v>-0.920940170940171</v>
          </cell>
          <cell r="S93">
            <v>-0.92624728850325377</v>
          </cell>
          <cell r="T93">
            <v>-0.77977528089887638</v>
          </cell>
          <cell r="U93">
            <v>-0.732739420935412</v>
          </cell>
          <cell r="V93">
            <v>-0.71333333333333337</v>
          </cell>
          <cell r="W93">
            <v>-0.69315673289183222</v>
          </cell>
          <cell r="X93">
            <v>-0.68973214285714279</v>
          </cell>
          <cell r="Y93">
            <v>-0.484375</v>
          </cell>
          <cell r="Z93">
            <v>-0.45374449339207046</v>
          </cell>
          <cell r="AA93">
            <v>-0.4285714285714286</v>
          </cell>
          <cell r="AB93">
            <v>-0.50218340611353707</v>
          </cell>
        </row>
        <row r="94">
          <cell r="C94" t="str">
            <v>Guinea</v>
          </cell>
          <cell r="D94">
            <v>0.11538461538461542</v>
          </cell>
          <cell r="E94">
            <v>8.9743589743589647E-2</v>
          </cell>
          <cell r="F94">
            <v>0.13513513513513509</v>
          </cell>
          <cell r="G94">
            <v>9.3333333333333268E-2</v>
          </cell>
          <cell r="H94">
            <v>0.1095890410958904</v>
          </cell>
          <cell r="I94">
            <v>5.1948051948051965E-2</v>
          </cell>
          <cell r="J94">
            <v>9.4594594594594517E-2</v>
          </cell>
          <cell r="K94">
            <v>-0.15053763440860213</v>
          </cell>
          <cell r="L94">
            <v>-1.2658227848101222E-2</v>
          </cell>
          <cell r="M94">
            <v>-2.5974025974025983E-2</v>
          </cell>
          <cell r="N94">
            <v>-7.5949367088607556E-2</v>
          </cell>
          <cell r="O94">
            <v>-0.54545454545454541</v>
          </cell>
          <cell r="P94">
            <v>-0.76543209876543217</v>
          </cell>
          <cell r="Q94">
            <v>-0.77777777777777779</v>
          </cell>
          <cell r="R94">
            <v>-0.80246913580246915</v>
          </cell>
          <cell r="S94">
            <v>-0.90123456790123457</v>
          </cell>
          <cell r="T94">
            <v>-0.76923076923076916</v>
          </cell>
          <cell r="U94">
            <v>-0.81707317073170738</v>
          </cell>
          <cell r="V94">
            <v>-0.8125</v>
          </cell>
          <cell r="W94">
            <v>-0.58750000000000002</v>
          </cell>
          <cell r="X94">
            <v>-0.59523809523809523</v>
          </cell>
          <cell r="Y94">
            <v>-0.30487804878048785</v>
          </cell>
          <cell r="Z94">
            <v>-0.35227272727272729</v>
          </cell>
          <cell r="AA94">
            <v>-0.19047619047619047</v>
          </cell>
          <cell r="AB94">
            <v>-0.32558139534883723</v>
          </cell>
        </row>
        <row r="95">
          <cell r="C95" t="str">
            <v>Guinea-Bissau</v>
          </cell>
          <cell r="D95">
            <v>0.4137931034482758</v>
          </cell>
          <cell r="E95">
            <v>0.4285714285714286</v>
          </cell>
          <cell r="F95">
            <v>0.30769230769230771</v>
          </cell>
          <cell r="G95">
            <v>0.26923076923076916</v>
          </cell>
          <cell r="H95">
            <v>0.23076923076923084</v>
          </cell>
          <cell r="I95">
            <v>0.26923076923076916</v>
          </cell>
          <cell r="J95">
            <v>0.41666666666666674</v>
          </cell>
          <cell r="K95">
            <v>0.2592592592592593</v>
          </cell>
          <cell r="L95">
            <v>0.2592592592592593</v>
          </cell>
          <cell r="M95">
            <v>0.3600000000000001</v>
          </cell>
          <cell r="N95">
            <v>0.19999999999999996</v>
          </cell>
          <cell r="O95">
            <v>-0.39130434782608692</v>
          </cell>
          <cell r="P95">
            <v>-0.41666666666666663</v>
          </cell>
          <cell r="Q95">
            <v>-0.46153846153846156</v>
          </cell>
          <cell r="R95">
            <v>-0.75</v>
          </cell>
          <cell r="S95">
            <v>-0.75</v>
          </cell>
          <cell r="T95">
            <v>-0.60714285714285721</v>
          </cell>
          <cell r="U95">
            <v>-0.72</v>
          </cell>
          <cell r="V95">
            <v>-0.65384615384615385</v>
          </cell>
          <cell r="W95">
            <v>-0.21739130434782605</v>
          </cell>
          <cell r="X95">
            <v>-0.18181818181818177</v>
          </cell>
          <cell r="Y95">
            <v>8.6956521739130377E-2</v>
          </cell>
          <cell r="Z95">
            <v>0</v>
          </cell>
          <cell r="AA95">
            <v>0</v>
          </cell>
          <cell r="AB95">
            <v>-0.1428571428571429</v>
          </cell>
        </row>
        <row r="96">
          <cell r="C96" t="str">
            <v>Guyana</v>
          </cell>
          <cell r="D96">
            <v>0.11904761904761907</v>
          </cell>
          <cell r="E96">
            <v>8.59375E-2</v>
          </cell>
          <cell r="F96">
            <v>7.6335877862595325E-2</v>
          </cell>
          <cell r="G96">
            <v>8.5271317829457294E-2</v>
          </cell>
          <cell r="H96">
            <v>0.13934426229508201</v>
          </cell>
          <cell r="I96">
            <v>0.12096774193548376</v>
          </cell>
          <cell r="J96">
            <v>0.11290322580645151</v>
          </cell>
          <cell r="K96">
            <v>0.64566929133858264</v>
          </cell>
          <cell r="L96">
            <v>0.69599999999999995</v>
          </cell>
          <cell r="M96">
            <v>0.65625</v>
          </cell>
          <cell r="N96">
            <v>0.671875</v>
          </cell>
          <cell r="O96">
            <v>0.2834645669291338</v>
          </cell>
          <cell r="P96">
            <v>0.17460317460317465</v>
          </cell>
          <cell r="Q96">
            <v>-0.23622047244094491</v>
          </cell>
          <cell r="R96">
            <v>-0.32558139534883723</v>
          </cell>
          <cell r="S96">
            <v>-0.33587786259541985</v>
          </cell>
          <cell r="T96">
            <v>-0.26119402985074625</v>
          </cell>
          <cell r="U96">
            <v>-0.76642335766423364</v>
          </cell>
          <cell r="V96">
            <v>-0.4963503649635036</v>
          </cell>
          <cell r="W96">
            <v>-0.30882352941176472</v>
          </cell>
          <cell r="X96">
            <v>-0.30882352941176472</v>
          </cell>
          <cell r="Y96">
            <v>-0.28148148148148144</v>
          </cell>
          <cell r="Z96">
            <v>-0.24444444444444446</v>
          </cell>
          <cell r="AA96">
            <v>-0.23134328358208955</v>
          </cell>
          <cell r="AB96">
            <v>-0.3481481481481481</v>
          </cell>
        </row>
        <row r="97">
          <cell r="C97" t="str">
            <v>Haiti</v>
          </cell>
          <cell r="D97">
            <v>0.29931972789115657</v>
          </cell>
          <cell r="E97">
            <v>0.20408163265306123</v>
          </cell>
          <cell r="F97">
            <v>0.24305555555555558</v>
          </cell>
          <cell r="G97">
            <v>0.24647887323943651</v>
          </cell>
          <cell r="H97">
            <v>0.323943661971831</v>
          </cell>
          <cell r="I97">
            <v>0.41428571428571437</v>
          </cell>
          <cell r="J97">
            <v>0.50704225352112675</v>
          </cell>
          <cell r="K97">
            <v>0.47222222222222232</v>
          </cell>
          <cell r="L97">
            <v>0.47222222222222232</v>
          </cell>
          <cell r="M97">
            <v>0.44680851063829796</v>
          </cell>
          <cell r="N97">
            <v>0.47142857142857153</v>
          </cell>
          <cell r="O97">
            <v>-0.10869565217391308</v>
          </cell>
          <cell r="P97">
            <v>-0.34883720930232553</v>
          </cell>
          <cell r="Q97">
            <v>-0.625</v>
          </cell>
          <cell r="R97">
            <v>-0.72357723577235777</v>
          </cell>
          <cell r="S97">
            <v>-0.72440944881889768</v>
          </cell>
          <cell r="T97">
            <v>-0.38931297709923662</v>
          </cell>
          <cell r="U97">
            <v>-0.70676691729323315</v>
          </cell>
          <cell r="V97">
            <v>-0.70769230769230762</v>
          </cell>
          <cell r="W97">
            <v>-0.44827586206896552</v>
          </cell>
          <cell r="X97">
            <v>-0.46568627450980393</v>
          </cell>
          <cell r="Y97">
            <v>-0.36683417085427139</v>
          </cell>
          <cell r="Z97">
            <v>-0.2857142857142857</v>
          </cell>
          <cell r="AA97">
            <v>-0.25454545454545452</v>
          </cell>
          <cell r="AB97">
            <v>-0.33333333333333337</v>
          </cell>
        </row>
        <row r="98">
          <cell r="C98" t="str">
            <v>Honduras</v>
          </cell>
          <cell r="D98">
            <v>0.33943089430894302</v>
          </cell>
          <cell r="E98">
            <v>0.37447698744769875</v>
          </cell>
          <cell r="F98">
            <v>0.36554621848739499</v>
          </cell>
          <cell r="G98">
            <v>0.36016949152542366</v>
          </cell>
          <cell r="H98">
            <v>0.38574423480083864</v>
          </cell>
          <cell r="I98">
            <v>0.40471092077087789</v>
          </cell>
          <cell r="J98">
            <v>0.38510638297872335</v>
          </cell>
          <cell r="K98">
            <v>0.36997885835095135</v>
          </cell>
          <cell r="L98">
            <v>0.37656903765690375</v>
          </cell>
          <cell r="M98">
            <v>0.37708333333333344</v>
          </cell>
          <cell r="N98">
            <v>0.34166666666666656</v>
          </cell>
          <cell r="O98">
            <v>0.11677282377919318</v>
          </cell>
          <cell r="P98">
            <v>8.3682008368199945E-3</v>
          </cell>
          <cell r="Q98">
            <v>-0.15370370370370368</v>
          </cell>
          <cell r="R98">
            <v>-0.405607476635514</v>
          </cell>
          <cell r="S98">
            <v>-0.41385767790262173</v>
          </cell>
          <cell r="T98">
            <v>-0.3724007561436673</v>
          </cell>
          <cell r="U98">
            <v>-0.69202226345083484</v>
          </cell>
          <cell r="V98">
            <v>-0.6846011131725418</v>
          </cell>
          <cell r="W98">
            <v>-0.65925925925925921</v>
          </cell>
          <cell r="X98">
            <v>-0.65862708719851581</v>
          </cell>
          <cell r="Y98">
            <v>-0.30965391621129323</v>
          </cell>
          <cell r="Z98">
            <v>-0.29874776386404289</v>
          </cell>
          <cell r="AA98">
            <v>-0.23883495145631073</v>
          </cell>
          <cell r="AB98">
            <v>-0.32421875</v>
          </cell>
        </row>
        <row r="99">
          <cell r="C99" t="str">
            <v>Hong Kong (sar) China</v>
          </cell>
          <cell r="D99">
            <v>-0.1127214170692431</v>
          </cell>
          <cell r="E99">
            <v>-0.10768818644521827</v>
          </cell>
          <cell r="F99">
            <v>-7.9883227176220761E-2</v>
          </cell>
          <cell r="G99">
            <v>-8.733280881195904E-2</v>
          </cell>
          <cell r="H99">
            <v>-0.20603674540682415</v>
          </cell>
          <cell r="I99">
            <v>-0.44656888423258245</v>
          </cell>
          <cell r="J99">
            <v>-0.57746478873239437</v>
          </cell>
          <cell r="K99">
            <v>-0.63326226012793174</v>
          </cell>
          <cell r="L99">
            <v>-0.70386382058902996</v>
          </cell>
          <cell r="M99">
            <v>-0.77544990598979324</v>
          </cell>
          <cell r="N99">
            <v>-0.80759967888680761</v>
          </cell>
          <cell r="O99">
            <v>-0.81650641025641024</v>
          </cell>
          <cell r="P99">
            <v>-0.88260405549626464</v>
          </cell>
          <cell r="Q99">
            <v>-0.92272727272727273</v>
          </cell>
          <cell r="R99">
            <v>-0.94172185430463573</v>
          </cell>
          <cell r="S99">
            <v>-0.94489849723174268</v>
          </cell>
          <cell r="T99">
            <v>-0.93159006867406235</v>
          </cell>
          <cell r="U99">
            <v>-0.93557046979865777</v>
          </cell>
          <cell r="V99">
            <v>-0.92522112034307158</v>
          </cell>
          <cell r="W99">
            <v>-0.90867456896551724</v>
          </cell>
          <cell r="X99">
            <v>-0.90387219063092339</v>
          </cell>
          <cell r="Y99">
            <v>-0.59079967905857189</v>
          </cell>
          <cell r="Z99">
            <v>-0.57414856529900771</v>
          </cell>
          <cell r="AA99">
            <v>-0.58128997867803833</v>
          </cell>
          <cell r="AB99">
            <v>-0.58051742344244983</v>
          </cell>
        </row>
        <row r="100">
          <cell r="C100" t="str">
            <v>Hungary</v>
          </cell>
          <cell r="D100">
            <v>0.11521252796420578</v>
          </cell>
          <cell r="E100">
            <v>0.11893764434180132</v>
          </cell>
          <cell r="F100">
            <v>0.11771428571428566</v>
          </cell>
          <cell r="G100">
            <v>0.11477272727272725</v>
          </cell>
          <cell r="H100">
            <v>0.11473565804274455</v>
          </cell>
          <cell r="I100">
            <v>0.10444444444444434</v>
          </cell>
          <cell r="J100">
            <v>8.7662337662337553E-2</v>
          </cell>
          <cell r="K100">
            <v>7.7825159914712172E-2</v>
          </cell>
          <cell r="L100">
            <v>9.2258748674443281E-2</v>
          </cell>
          <cell r="M100">
            <v>6.5608465608465671E-2</v>
          </cell>
          <cell r="N100">
            <v>-4.1139240506329111E-2</v>
          </cell>
          <cell r="O100">
            <v>-0.52033368091762244</v>
          </cell>
          <cell r="P100">
            <v>-0.646784715750233</v>
          </cell>
          <cell r="Q100">
            <v>-0.66852367688022285</v>
          </cell>
          <cell r="R100">
            <v>-0.68411386593204782</v>
          </cell>
          <cell r="S100">
            <v>-0.94327538883806039</v>
          </cell>
          <cell r="T100">
            <v>-0.82561307901907355</v>
          </cell>
          <cell r="U100">
            <v>-0.6500453309156845</v>
          </cell>
          <cell r="V100">
            <v>-0.63414634146341464</v>
          </cell>
          <cell r="W100">
            <v>-0.55942806076854334</v>
          </cell>
          <cell r="X100">
            <v>-0.54203935599284436</v>
          </cell>
          <cell r="Y100">
            <v>-9.6631205673758824E-2</v>
          </cell>
          <cell r="Z100">
            <v>-9.965034965034969E-2</v>
          </cell>
          <cell r="AA100">
            <v>-9.7053726169843979E-2</v>
          </cell>
          <cell r="AB100">
            <v>-0.22145328719723179</v>
          </cell>
        </row>
        <row r="101">
          <cell r="C101" t="str">
            <v>Iceland</v>
          </cell>
          <cell r="D101">
            <v>-0.21779141104294475</v>
          </cell>
          <cell r="E101">
            <v>-0.229903536977492</v>
          </cell>
          <cell r="F101">
            <v>-0.21359223300970875</v>
          </cell>
          <cell r="G101">
            <v>-0.21647819063004847</v>
          </cell>
          <cell r="H101">
            <v>-0.22432859399684046</v>
          </cell>
          <cell r="I101">
            <v>-0.21617418351477447</v>
          </cell>
          <cell r="J101">
            <v>-0.20528771384136857</v>
          </cell>
          <cell r="K101">
            <v>-0.21076923076923082</v>
          </cell>
          <cell r="L101">
            <v>-0.19195046439628483</v>
          </cell>
          <cell r="M101">
            <v>-0.19230769230769229</v>
          </cell>
          <cell r="N101">
            <v>-0.19601837672281774</v>
          </cell>
          <cell r="O101">
            <v>-0.26209048361934473</v>
          </cell>
          <cell r="P101">
            <v>-0.2365988909426987</v>
          </cell>
          <cell r="Q101">
            <v>-0.40036231884057971</v>
          </cell>
          <cell r="R101">
            <v>-0.4874274661508704</v>
          </cell>
          <cell r="S101">
            <v>-0.66371681415929196</v>
          </cell>
          <cell r="T101">
            <v>-0.63130434782608691</v>
          </cell>
          <cell r="U101">
            <v>-0.53767123287671237</v>
          </cell>
          <cell r="V101">
            <v>-0.33068362480127189</v>
          </cell>
          <cell r="W101">
            <v>-0.24183976261127593</v>
          </cell>
          <cell r="X101">
            <v>-0.22159887798036471</v>
          </cell>
          <cell r="Y101">
            <v>-0.10119840213049269</v>
          </cell>
          <cell r="Z101">
            <v>-0.10078534031413611</v>
          </cell>
          <cell r="AA101">
            <v>-8.0624187256176816E-2</v>
          </cell>
          <cell r="AB101">
            <v>-0.22236503856041134</v>
          </cell>
        </row>
        <row r="102">
          <cell r="C102" t="str">
            <v>India</v>
          </cell>
          <cell r="D102">
            <v>2.8955084632813488E-2</v>
          </cell>
          <cell r="E102">
            <v>2.7963607171527904E-2</v>
          </cell>
          <cell r="F102">
            <v>1.5746165046899963E-2</v>
          </cell>
          <cell r="G102">
            <v>1.1502635329996291E-2</v>
          </cell>
          <cell r="H102">
            <v>1.8977758336417683E-2</v>
          </cell>
          <cell r="I102">
            <v>6.2363200500295424E-2</v>
          </cell>
          <cell r="J102">
            <v>0.10776978417266192</v>
          </cell>
          <cell r="K102">
            <v>6.6581702948470545E-2</v>
          </cell>
          <cell r="L102">
            <v>9.8885941644562436E-2</v>
          </cell>
          <cell r="M102">
            <v>9.9518287243532511E-2</v>
          </cell>
          <cell r="N102">
            <v>8.3060306030602993E-2</v>
          </cell>
          <cell r="O102">
            <v>1.8136850783182279E-2</v>
          </cell>
          <cell r="P102">
            <v>-0.68024273109712974</v>
          </cell>
          <cell r="Q102">
            <v>-0.71055354371443347</v>
          </cell>
          <cell r="R102">
            <v>-0.79944659656889872</v>
          </cell>
          <cell r="S102">
            <v>-0.88471260578085498</v>
          </cell>
          <cell r="T102">
            <v>-0.93579335793357932</v>
          </cell>
          <cell r="U102">
            <v>-0.90894802251626583</v>
          </cell>
          <cell r="V102">
            <v>-0.45903042842364361</v>
          </cell>
          <cell r="W102">
            <v>-5.3093226406988436E-2</v>
          </cell>
          <cell r="X102">
            <v>-5.4572008691625373E-2</v>
          </cell>
          <cell r="Y102">
            <v>-4.2427267541357283E-3</v>
          </cell>
          <cell r="Z102">
            <v>-9.8764558037452987E-3</v>
          </cell>
          <cell r="AA102">
            <v>-4.5825932504440781E-3</v>
          </cell>
          <cell r="AB102">
            <v>-0.14304013663535442</v>
          </cell>
        </row>
        <row r="103">
          <cell r="C103" t="str">
            <v>Indonesia</v>
          </cell>
          <cell r="D103">
            <v>4.4134130394171578E-2</v>
          </cell>
          <cell r="E103">
            <v>8.7500615854559705E-2</v>
          </cell>
          <cell r="F103">
            <v>9.9970128447675055E-2</v>
          </cell>
          <cell r="G103">
            <v>8.1955922865013742E-2</v>
          </cell>
          <cell r="H103">
            <v>7.3477751756440224E-2</v>
          </cell>
          <cell r="I103">
            <v>5.8124109467891705E-2</v>
          </cell>
          <cell r="J103">
            <v>5.7017543859649189E-2</v>
          </cell>
          <cell r="K103">
            <v>5.8826403478770661E-2</v>
          </cell>
          <cell r="L103">
            <v>9.4248884481903827E-2</v>
          </cell>
          <cell r="M103">
            <v>8.2503050020333424E-2</v>
          </cell>
          <cell r="N103">
            <v>0.10758557363668819</v>
          </cell>
          <cell r="O103">
            <v>2.9548117581130739E-3</v>
          </cell>
          <cell r="P103">
            <v>-0.137873180360227</v>
          </cell>
          <cell r="Q103">
            <v>-0.17345132743362834</v>
          </cell>
          <cell r="R103">
            <v>-0.2018893798567728</v>
          </cell>
          <cell r="S103">
            <v>-0.20344895352264913</v>
          </cell>
          <cell r="T103">
            <v>-0.2058429759969399</v>
          </cell>
          <cell r="U103">
            <v>-0.27626929964667735</v>
          </cell>
          <cell r="V103">
            <v>-9.2025493548888559E-2</v>
          </cell>
          <cell r="W103">
            <v>-1.9886223101657219E-2</v>
          </cell>
          <cell r="X103">
            <v>-4.6595654826146138E-2</v>
          </cell>
          <cell r="Y103">
            <v>7.5279996219460354E-2</v>
          </cell>
          <cell r="Z103">
            <v>4.7603789994049572E-2</v>
          </cell>
          <cell r="AA103">
            <v>6.4008540660972946E-2</v>
          </cell>
          <cell r="AB103">
            <v>-7.5805313896073367E-2</v>
          </cell>
        </row>
        <row r="104">
          <cell r="C104" t="str">
            <v>Iran Islamic Republic of</v>
          </cell>
          <cell r="D104">
            <v>-0.20915945266685287</v>
          </cell>
          <cell r="E104">
            <v>-0.21223122032951691</v>
          </cell>
          <cell r="F104">
            <v>-0.16497915425848719</v>
          </cell>
          <cell r="G104">
            <v>-0.16864608076009502</v>
          </cell>
          <cell r="H104">
            <v>-0.17037696645888989</v>
          </cell>
          <cell r="I104">
            <v>-0.18955799466033818</v>
          </cell>
          <cell r="J104">
            <v>-0.14217868803799349</v>
          </cell>
          <cell r="K104">
            <v>-0.16098144823459004</v>
          </cell>
          <cell r="L104">
            <v>-0.18355754857997009</v>
          </cell>
          <cell r="M104">
            <v>-0.20478325859491775</v>
          </cell>
          <cell r="N104">
            <v>-0.23568414707655216</v>
          </cell>
          <cell r="O104">
            <v>-0.18305744888023368</v>
          </cell>
          <cell r="P104">
            <v>-9.1958041958041914E-2</v>
          </cell>
          <cell r="Q104">
            <v>-8.7170474516695906E-2</v>
          </cell>
          <cell r="R104">
            <v>-0.125</v>
          </cell>
          <cell r="S104">
            <v>-0.12465659340659341</v>
          </cell>
          <cell r="T104">
            <v>-0.33767569420637644</v>
          </cell>
          <cell r="U104">
            <v>-0.34206896551724142</v>
          </cell>
          <cell r="V104">
            <v>-0.33760831889081455</v>
          </cell>
          <cell r="W104">
            <v>-0.34066689584049503</v>
          </cell>
          <cell r="X104">
            <v>-0.29251700680272108</v>
          </cell>
          <cell r="Y104">
            <v>-0.17152542372881352</v>
          </cell>
          <cell r="Z104">
            <v>-0.17078956286004743</v>
          </cell>
          <cell r="AA104">
            <v>-0.16740387887036412</v>
          </cell>
          <cell r="AB104">
            <v>-0.3262204978984804</v>
          </cell>
        </row>
        <row r="105">
          <cell r="C105" t="str">
            <v>Iraq</v>
          </cell>
          <cell r="D105">
            <v>8.1784386617100413E-2</v>
          </cell>
          <cell r="E105">
            <v>0.10161090458488231</v>
          </cell>
          <cell r="F105">
            <v>6.0718711276332105E-2</v>
          </cell>
          <cell r="G105">
            <v>1.9138755980861344E-2</v>
          </cell>
          <cell r="H105">
            <v>1.9070321811680557E-2</v>
          </cell>
          <cell r="I105">
            <v>2.400960384153672E-2</v>
          </cell>
          <cell r="J105">
            <v>5.4811205846528654E-2</v>
          </cell>
          <cell r="K105">
            <v>4.6019900497512367E-2</v>
          </cell>
          <cell r="L105">
            <v>-7.7596996245306582E-2</v>
          </cell>
          <cell r="M105">
            <v>-0.20650813516896116</v>
          </cell>
          <cell r="N105">
            <v>-0.25967540574282144</v>
          </cell>
          <cell r="O105">
            <v>-0.63483870967741929</v>
          </cell>
          <cell r="P105">
            <v>-0.6475279106858054</v>
          </cell>
          <cell r="Q105">
            <v>-0.68593749999999998</v>
          </cell>
          <cell r="R105">
            <v>-0.71153846153846156</v>
          </cell>
          <cell r="S105">
            <v>-0.74969915764139583</v>
          </cell>
          <cell r="T105">
            <v>-0.79075425790754261</v>
          </cell>
          <cell r="U105">
            <v>-0.78600269179004034</v>
          </cell>
          <cell r="V105">
            <v>-0.77961432506887052</v>
          </cell>
          <cell r="W105">
            <v>-0.74628879892037792</v>
          </cell>
          <cell r="X105">
            <v>-0.670807453416149</v>
          </cell>
          <cell r="Y105">
            <v>-0.45517241379310347</v>
          </cell>
          <cell r="Z105">
            <v>-0.43840177580466144</v>
          </cell>
          <cell r="AA105">
            <v>-0.42680180180180183</v>
          </cell>
          <cell r="AB105">
            <v>-0.5304347826086957</v>
          </cell>
        </row>
        <row r="106">
          <cell r="C106" t="str">
            <v>Ireland Republic of</v>
          </cell>
          <cell r="D106">
            <v>-2.6805997273966375E-2</v>
          </cell>
          <cell r="E106">
            <v>-4.1487839771101598E-2</v>
          </cell>
          <cell r="F106">
            <v>-4.4034090909090939E-2</v>
          </cell>
          <cell r="G106">
            <v>-5.2849264705882359E-2</v>
          </cell>
          <cell r="H106">
            <v>-3.013698630136985E-2</v>
          </cell>
          <cell r="I106">
            <v>-2.1982951996410982E-2</v>
          </cell>
          <cell r="J106">
            <v>-1.685891748003554E-2</v>
          </cell>
          <cell r="K106">
            <v>-9.3374833259226575E-3</v>
          </cell>
          <cell r="L106">
            <v>-7.9470198675496428E-3</v>
          </cell>
          <cell r="M106">
            <v>-3.8693035253654307E-2</v>
          </cell>
          <cell r="N106">
            <v>-8.6787564766839354E-2</v>
          </cell>
          <cell r="O106">
            <v>-0.53431160984031068</v>
          </cell>
          <cell r="P106">
            <v>-0.85936315390447304</v>
          </cell>
          <cell r="Q106">
            <v>-0.90676077265973254</v>
          </cell>
          <cell r="R106">
            <v>-0.93406998158379373</v>
          </cell>
          <cell r="S106">
            <v>-0.93213499633162145</v>
          </cell>
          <cell r="T106">
            <v>-0.90591204037490991</v>
          </cell>
          <cell r="U106">
            <v>-0.91220556745182013</v>
          </cell>
          <cell r="V106">
            <v>-0.82282493835857695</v>
          </cell>
          <cell r="W106">
            <v>-0.54405594405594404</v>
          </cell>
          <cell r="X106">
            <v>-0.50847457627118642</v>
          </cell>
          <cell r="Y106">
            <v>-0.37610020311442116</v>
          </cell>
          <cell r="Z106">
            <v>-0.36758223126483558</v>
          </cell>
          <cell r="AA106">
            <v>-0.34776584689989609</v>
          </cell>
          <cell r="AB106">
            <v>-0.44848484848484849</v>
          </cell>
        </row>
        <row r="107">
          <cell r="C107" t="str">
            <v>Israel</v>
          </cell>
          <cell r="D107">
            <v>7.2674418604656843E-4</v>
          </cell>
          <cell r="E107">
            <v>-1.1816838995568735E-2</v>
          </cell>
          <cell r="F107">
            <v>-8.1723625557206248E-3</v>
          </cell>
          <cell r="G107">
            <v>-2.2321428571429047E-3</v>
          </cell>
          <cell r="H107">
            <v>-1.1851851851851891E-2</v>
          </cell>
          <cell r="I107">
            <v>-2.2026431718061845E-3</v>
          </cell>
          <cell r="J107">
            <v>1.4825796886582587E-2</v>
          </cell>
          <cell r="K107">
            <v>-3.5353535353535359E-2</v>
          </cell>
          <cell r="L107">
            <v>-7.3782234957020076E-2</v>
          </cell>
          <cell r="M107">
            <v>-0.16643059490084988</v>
          </cell>
          <cell r="N107">
            <v>-0.5182072829131652</v>
          </cell>
          <cell r="O107">
            <v>-0.70936639118457301</v>
          </cell>
          <cell r="P107">
            <v>-0.76634214186369953</v>
          </cell>
          <cell r="Q107">
            <v>-0.85110663983903423</v>
          </cell>
          <cell r="R107">
            <v>-0.8772455089820359</v>
          </cell>
          <cell r="S107">
            <v>-0.94559902200488999</v>
          </cell>
          <cell r="T107">
            <v>-0.93738019169329068</v>
          </cell>
          <cell r="U107">
            <v>-0.89859906604402939</v>
          </cell>
          <cell r="V107">
            <v>-0.86757990867579915</v>
          </cell>
          <cell r="W107">
            <v>-0.76050955414012744</v>
          </cell>
          <cell r="X107">
            <v>-0.67150063051702391</v>
          </cell>
          <cell r="Y107">
            <v>-8.981657179000635E-2</v>
          </cell>
          <cell r="Z107">
            <v>-0.12137359384251034</v>
          </cell>
          <cell r="AA107">
            <v>-0.11827321111768185</v>
          </cell>
          <cell r="AB107">
            <v>-0.27484020918070884</v>
          </cell>
        </row>
        <row r="108">
          <cell r="C108" t="str">
            <v>Italy</v>
          </cell>
          <cell r="D108">
            <v>7.9428117553614896E-3</v>
          </cell>
          <cell r="E108">
            <v>-4.9579299737627758E-2</v>
          </cell>
          <cell r="F108">
            <v>-4.1863421721758054E-2</v>
          </cell>
          <cell r="G108">
            <v>-4.834490845133943E-2</v>
          </cell>
          <cell r="H108">
            <v>-4.2680210282455722E-2</v>
          </cell>
          <cell r="I108">
            <v>-3.5122886526058883E-2</v>
          </cell>
          <cell r="J108">
            <v>-2.827432107253347E-2</v>
          </cell>
          <cell r="K108">
            <v>-6.1949956859361555E-2</v>
          </cell>
          <cell r="L108">
            <v>-8.8087828492392828E-2</v>
          </cell>
          <cell r="M108">
            <v>-0.21619986168741356</v>
          </cell>
          <cell r="N108">
            <v>-0.73906642417944057</v>
          </cell>
          <cell r="O108">
            <v>-0.88003472222222223</v>
          </cell>
          <cell r="P108">
            <v>-0.8920937800458546</v>
          </cell>
          <cell r="Q108">
            <v>-0.88966021191085132</v>
          </cell>
          <cell r="R108">
            <v>-0.92244105807935595</v>
          </cell>
          <cell r="S108">
            <v>-0.81245074862096134</v>
          </cell>
          <cell r="T108">
            <v>-0.80168175016033638</v>
          </cell>
          <cell r="U108">
            <v>-0.78092221048926436</v>
          </cell>
          <cell r="V108">
            <v>-0.76611945511701007</v>
          </cell>
          <cell r="W108">
            <v>-0.61767210787792759</v>
          </cell>
          <cell r="X108">
            <v>-0.59853270837578965</v>
          </cell>
          <cell r="Y108">
            <v>-0.19527938971115599</v>
          </cell>
          <cell r="Z108">
            <v>-0.19345065428995034</v>
          </cell>
          <cell r="AA108">
            <v>-0.16792028286724525</v>
          </cell>
          <cell r="AB108">
            <v>-0.28668299114710871</v>
          </cell>
        </row>
        <row r="109">
          <cell r="C109" t="str">
            <v>Jamaica</v>
          </cell>
          <cell r="D109">
            <v>0.75206611570247928</v>
          </cell>
          <cell r="E109">
            <v>0.75726141078838172</v>
          </cell>
          <cell r="F109">
            <v>0.79826464208242953</v>
          </cell>
          <cell r="G109">
            <v>0.75319148936170222</v>
          </cell>
          <cell r="H109">
            <v>0.73160173160173159</v>
          </cell>
          <cell r="I109">
            <v>0.70041322314049581</v>
          </cell>
          <cell r="J109">
            <v>0.67799999999999994</v>
          </cell>
          <cell r="K109">
            <v>0.62015503875968991</v>
          </cell>
          <cell r="L109">
            <v>0.6379647749510764</v>
          </cell>
          <cell r="M109">
            <v>0.51428571428571423</v>
          </cell>
          <cell r="N109">
            <v>0.54598825831702547</v>
          </cell>
          <cell r="O109">
            <v>0.25248508946322068</v>
          </cell>
          <cell r="P109">
            <v>-3.4552845528455278E-2</v>
          </cell>
          <cell r="Q109">
            <v>-0.11570247933884292</v>
          </cell>
          <cell r="R109">
            <v>-0.28125</v>
          </cell>
          <cell r="S109">
            <v>-0.32563025210084029</v>
          </cell>
          <cell r="T109">
            <v>-0.21461187214611877</v>
          </cell>
          <cell r="U109">
            <v>-0.15690866510538637</v>
          </cell>
          <cell r="V109">
            <v>-9.219858156028371E-2</v>
          </cell>
          <cell r="W109">
            <v>-8.0568720379146974E-2</v>
          </cell>
          <cell r="X109">
            <v>-6.6825775656324637E-2</v>
          </cell>
          <cell r="Y109">
            <v>0.14780600461893756</v>
          </cell>
          <cell r="Z109">
            <v>0.22929936305732479</v>
          </cell>
          <cell r="AA109">
            <v>0.20533880903490753</v>
          </cell>
          <cell r="AB109">
            <v>-0.24796747967479671</v>
          </cell>
        </row>
        <row r="110">
          <cell r="C110" t="str">
            <v>Japan</v>
          </cell>
          <cell r="D110">
            <v>2.6219623606797082E-2</v>
          </cell>
          <cell r="E110">
            <v>2.2515952597994549E-2</v>
          </cell>
          <cell r="F110">
            <v>2.5646845211075853E-2</v>
          </cell>
          <cell r="G110">
            <v>2.0718357007147414E-2</v>
          </cell>
          <cell r="H110">
            <v>-7.7791267592967062E-3</v>
          </cell>
          <cell r="I110">
            <v>-3.1991324386607012E-2</v>
          </cell>
          <cell r="J110">
            <v>-4.5761712549321931E-2</v>
          </cell>
          <cell r="K110">
            <v>-5.5615648098071069E-2</v>
          </cell>
          <cell r="L110">
            <v>-7.5707079805440447E-2</v>
          </cell>
          <cell r="M110">
            <v>-0.14952766531713901</v>
          </cell>
          <cell r="N110">
            <v>-0.19231801108925062</v>
          </cell>
          <cell r="O110">
            <v>-0.24286156979060602</v>
          </cell>
          <cell r="P110">
            <v>-0.27886586695747007</v>
          </cell>
          <cell r="Q110">
            <v>-0.32023757149142107</v>
          </cell>
          <cell r="R110">
            <v>-0.40066821998505298</v>
          </cell>
          <cell r="S110">
            <v>-0.44376090750436303</v>
          </cell>
          <cell r="T110">
            <v>-0.44632453735435229</v>
          </cell>
          <cell r="U110">
            <v>-0.47027793785185512</v>
          </cell>
          <cell r="V110">
            <v>-0.47571950458879086</v>
          </cell>
          <cell r="W110">
            <v>-0.2632235084594835</v>
          </cell>
          <cell r="X110">
            <v>-0.26518660956210116</v>
          </cell>
          <cell r="Y110">
            <v>-7.3770848756695595E-2</v>
          </cell>
          <cell r="Z110">
            <v>-7.3705265904248418E-2</v>
          </cell>
          <cell r="AA110">
            <v>-7.0143415906127715E-2</v>
          </cell>
          <cell r="AB110">
            <v>-0.1999392413852964</v>
          </cell>
        </row>
        <row r="111">
          <cell r="C111" t="str">
            <v>Jordan</v>
          </cell>
          <cell r="D111">
            <v>3.7249283667621702E-2</v>
          </cell>
          <cell r="E111">
            <v>3.6818851251841034E-2</v>
          </cell>
          <cell r="F111">
            <v>8.7847730600292273E-3</v>
          </cell>
          <cell r="G111">
            <v>1.0189228529839944E-2</v>
          </cell>
          <cell r="H111">
            <v>-2.9069767441860517E-3</v>
          </cell>
          <cell r="I111">
            <v>-7.194244604316502E-3</v>
          </cell>
          <cell r="J111">
            <v>1.7518248175182549E-2</v>
          </cell>
          <cell r="K111">
            <v>1.6034985422740622E-2</v>
          </cell>
          <cell r="L111">
            <v>1.4492753623187582E-3</v>
          </cell>
          <cell r="M111">
            <v>-7.2150072150072186E-2</v>
          </cell>
          <cell r="N111">
            <v>-0.25470332850940669</v>
          </cell>
          <cell r="O111">
            <v>-0.83553597650513955</v>
          </cell>
          <cell r="P111">
            <v>-0.84573748308525032</v>
          </cell>
          <cell r="Q111">
            <v>-0.8690958164642375</v>
          </cell>
          <cell r="R111">
            <v>-0.84925975773889639</v>
          </cell>
          <cell r="S111">
            <v>-0.8716216216216216</v>
          </cell>
          <cell r="T111">
            <v>-0.87858117326057295</v>
          </cell>
          <cell r="U111">
            <v>-0.85967503692762182</v>
          </cell>
          <cell r="V111">
            <v>-0.69618320610687023</v>
          </cell>
          <cell r="W111">
            <v>-0.51569506726457393</v>
          </cell>
          <cell r="X111">
            <v>-0.44581618655692734</v>
          </cell>
          <cell r="Y111">
            <v>-0.14268585131894485</v>
          </cell>
          <cell r="Z111">
            <v>-0.10315533980582525</v>
          </cell>
          <cell r="AA111">
            <v>-7.9365079365079416E-2</v>
          </cell>
          <cell r="AB111">
            <v>-0.22195704057279231</v>
          </cell>
        </row>
        <row r="112">
          <cell r="C112" t="str">
            <v>Kazakhstan</v>
          </cell>
          <cell r="D112">
            <v>7.1530758226037161E-2</v>
          </cell>
          <cell r="E112">
            <v>-3.9857651245551629E-2</v>
          </cell>
          <cell r="F112">
            <v>-5.3495007132667638E-2</v>
          </cell>
          <cell r="G112">
            <v>-4.925053533190582E-2</v>
          </cell>
          <cell r="H112">
            <v>-3.6770007209805389E-2</v>
          </cell>
          <cell r="I112">
            <v>-4.7413793103448287E-2</v>
          </cell>
          <cell r="J112">
            <v>-5.0823192555476071E-2</v>
          </cell>
          <cell r="K112">
            <v>-5.8404558404558382E-2</v>
          </cell>
          <cell r="L112">
            <v>-4.409672830725464E-2</v>
          </cell>
          <cell r="M112">
            <v>-6.9865913902611099E-2</v>
          </cell>
          <cell r="N112">
            <v>-0.10140845070422533</v>
          </cell>
          <cell r="O112">
            <v>-0.73792613636363635</v>
          </cell>
          <cell r="P112">
            <v>-0.79986568166554739</v>
          </cell>
          <cell r="Q112">
            <v>-0.84385843164469121</v>
          </cell>
          <cell r="R112">
            <v>-0.7247191011235955</v>
          </cell>
          <cell r="S112">
            <v>-0.84349030470914133</v>
          </cell>
          <cell r="T112">
            <v>-0.58477508650519039</v>
          </cell>
          <cell r="U112">
            <v>-0.45302713987473908</v>
          </cell>
          <cell r="V112">
            <v>-0.3907330567081605</v>
          </cell>
          <cell r="W112">
            <v>-0.396469789545146</v>
          </cell>
          <cell r="X112">
            <v>-0.40339425587467359</v>
          </cell>
          <cell r="Y112">
            <v>-0.23653962492437997</v>
          </cell>
          <cell r="Z112">
            <v>-0.24188790560471973</v>
          </cell>
          <cell r="AA112">
            <v>-0.25405092592592593</v>
          </cell>
          <cell r="AB112">
            <v>-0.35307917888563045</v>
          </cell>
        </row>
        <row r="113">
          <cell r="C113" t="str">
            <v>Kenya</v>
          </cell>
          <cell r="D113">
            <v>-0.26002809427189011</v>
          </cell>
          <cell r="E113">
            <v>-0.26391270459859706</v>
          </cell>
          <cell r="F113">
            <v>-0.26697746697746694</v>
          </cell>
          <cell r="G113">
            <v>-0.28698271761534799</v>
          </cell>
          <cell r="H113">
            <v>-0.23714192708333337</v>
          </cell>
          <cell r="I113">
            <v>-0.23536127874734958</v>
          </cell>
          <cell r="J113">
            <v>-0.23719412724306688</v>
          </cell>
          <cell r="K113">
            <v>-0.23104812129202368</v>
          </cell>
          <cell r="L113">
            <v>-0.21947577969475784</v>
          </cell>
          <cell r="M113">
            <v>-0.28552323637579402</v>
          </cell>
          <cell r="N113">
            <v>-0.29525395503746876</v>
          </cell>
          <cell r="O113">
            <v>-0.38877822045152721</v>
          </cell>
          <cell r="P113">
            <v>-0.48464912280701755</v>
          </cell>
          <cell r="Q113">
            <v>-0.48507336819025126</v>
          </cell>
          <cell r="R113">
            <v>-0.50729308005427409</v>
          </cell>
          <cell r="S113">
            <v>-0.4953680309920836</v>
          </cell>
          <cell r="T113">
            <v>-0.48704475448450801</v>
          </cell>
          <cell r="U113">
            <v>-0.61118359739049399</v>
          </cell>
          <cell r="V113">
            <v>-0.60164578268187774</v>
          </cell>
          <cell r="W113">
            <v>-0.52241605702494842</v>
          </cell>
          <cell r="X113">
            <v>-0.50017550017550017</v>
          </cell>
          <cell r="Y113">
            <v>-0.42107168718320054</v>
          </cell>
          <cell r="Z113">
            <v>-0.42729226361031514</v>
          </cell>
          <cell r="AA113">
            <v>-0.37508858965272851</v>
          </cell>
          <cell r="AB113">
            <v>-0.45512593118126998</v>
          </cell>
        </row>
        <row r="114">
          <cell r="C114" t="str">
            <v>Kiribati</v>
          </cell>
          <cell r="D114">
            <v>5.1282051282051322E-2</v>
          </cell>
          <cell r="E114">
            <v>3.3613445378151363E-2</v>
          </cell>
          <cell r="F114">
            <v>3.3613445378151363E-2</v>
          </cell>
          <cell r="G114">
            <v>3.3613445378151363E-2</v>
          </cell>
          <cell r="H114">
            <v>2.4999999999999911E-2</v>
          </cell>
          <cell r="I114">
            <v>2.4999999999999911E-2</v>
          </cell>
          <cell r="J114">
            <v>1.6806722689075571E-2</v>
          </cell>
          <cell r="K114">
            <v>3.3613445378151363E-2</v>
          </cell>
          <cell r="L114">
            <v>3.3613445378151363E-2</v>
          </cell>
          <cell r="M114">
            <v>3.3613445378151363E-2</v>
          </cell>
          <cell r="N114">
            <v>8.4033613445377853E-3</v>
          </cell>
          <cell r="O114">
            <v>-8.4033613445377853E-3</v>
          </cell>
          <cell r="P114">
            <v>-6.7226890756302504E-2</v>
          </cell>
          <cell r="Q114">
            <v>-5.9322033898305038E-2</v>
          </cell>
          <cell r="R114">
            <v>-6.7226890756302504E-2</v>
          </cell>
          <cell r="S114">
            <v>-5.9322033898305038E-2</v>
          </cell>
          <cell r="T114">
            <v>-6.7226890756302504E-2</v>
          </cell>
          <cell r="U114">
            <v>-5.9322033898305038E-2</v>
          </cell>
          <cell r="V114">
            <v>-6.7226890756302504E-2</v>
          </cell>
          <cell r="W114">
            <v>-5.9322033898305038E-2</v>
          </cell>
          <cell r="X114">
            <v>-5.1282051282051322E-2</v>
          </cell>
          <cell r="Y114">
            <v>-8.6206896551723755E-3</v>
          </cell>
          <cell r="Z114">
            <v>-3.3613445378151252E-2</v>
          </cell>
          <cell r="AA114">
            <v>-1.7094017094017144E-2</v>
          </cell>
          <cell r="AB114">
            <v>-0.20168067226890751</v>
          </cell>
        </row>
        <row r="115">
          <cell r="C115" t="str">
            <v>Korea Democratic People's Republic of</v>
          </cell>
          <cell r="D115">
            <v>-0.4285714285714286</v>
          </cell>
          <cell r="E115">
            <v>-0.4285714285714286</v>
          </cell>
          <cell r="F115">
            <v>0.14285714285714279</v>
          </cell>
          <cell r="G115">
            <v>0</v>
          </cell>
          <cell r="H115">
            <v>0</v>
          </cell>
          <cell r="I115">
            <v>-0.25</v>
          </cell>
          <cell r="J115">
            <v>-0.25</v>
          </cell>
          <cell r="K115">
            <v>-0.33333333333333337</v>
          </cell>
          <cell r="L115">
            <v>-0.33333333333333337</v>
          </cell>
          <cell r="M115">
            <v>-0.33333333333333337</v>
          </cell>
          <cell r="N115">
            <v>-0.22222222222222221</v>
          </cell>
          <cell r="O115">
            <v>-0.22222222222222221</v>
          </cell>
          <cell r="P115">
            <v>-0.30000000000000004</v>
          </cell>
          <cell r="Q115">
            <v>-0.30000000000000004</v>
          </cell>
          <cell r="R115">
            <v>-0.30000000000000004</v>
          </cell>
          <cell r="S115">
            <v>-0.33333333333333337</v>
          </cell>
          <cell r="T115">
            <v>-0.41666666666666663</v>
          </cell>
          <cell r="U115">
            <v>-0.5</v>
          </cell>
          <cell r="V115">
            <v>-0.5</v>
          </cell>
          <cell r="W115">
            <v>-0.5</v>
          </cell>
          <cell r="X115">
            <v>-0.5</v>
          </cell>
          <cell r="Y115">
            <v>-0.19999999999999996</v>
          </cell>
          <cell r="Z115">
            <v>-0.19999999999999996</v>
          </cell>
          <cell r="AA115">
            <v>-0.27272727272727271</v>
          </cell>
          <cell r="AB115">
            <v>-0.27272727272727271</v>
          </cell>
        </row>
        <row r="116">
          <cell r="C116" t="str">
            <v>Korea Republic of</v>
          </cell>
          <cell r="D116">
            <v>1.787604374926488E-2</v>
          </cell>
          <cell r="E116">
            <v>2.0786583205385512E-2</v>
          </cell>
          <cell r="F116">
            <v>3.3740888784387524E-2</v>
          </cell>
          <cell r="G116">
            <v>1.3809245172615503E-2</v>
          </cell>
          <cell r="H116">
            <v>-3.3809689787382413E-2</v>
          </cell>
          <cell r="I116">
            <v>-9.3283143159628268E-2</v>
          </cell>
          <cell r="J116">
            <v>-0.15738243227395332</v>
          </cell>
          <cell r="K116">
            <v>-0.17863849765258211</v>
          </cell>
          <cell r="L116">
            <v>-0.34095782701929955</v>
          </cell>
          <cell r="M116">
            <v>-0.52054467271858584</v>
          </cell>
          <cell r="N116">
            <v>-0.56126006973668385</v>
          </cell>
          <cell r="O116">
            <v>-0.55725738901519684</v>
          </cell>
          <cell r="P116">
            <v>-0.56560009515879628</v>
          </cell>
          <cell r="Q116">
            <v>-0.59280235988200591</v>
          </cell>
          <cell r="R116">
            <v>-0.60456094980604203</v>
          </cell>
          <cell r="S116">
            <v>-0.5882971268395234</v>
          </cell>
          <cell r="T116">
            <v>-0.48479241355383373</v>
          </cell>
          <cell r="U116">
            <v>-0.49469312413474853</v>
          </cell>
          <cell r="V116">
            <v>-0.4718001841620626</v>
          </cell>
          <cell r="W116">
            <v>-0.42393928941014147</v>
          </cell>
          <cell r="X116">
            <v>-0.41871694642446544</v>
          </cell>
          <cell r="Y116">
            <v>-0.14945930563460441</v>
          </cell>
          <cell r="Z116">
            <v>-0.13011662474273955</v>
          </cell>
          <cell r="AA116">
            <v>-0.11851260408349495</v>
          </cell>
          <cell r="AB116">
            <v>-0.24484447989062319</v>
          </cell>
        </row>
        <row r="117">
          <cell r="C117" t="str">
            <v>Kuwait</v>
          </cell>
          <cell r="D117">
            <v>9.7652582159624357E-2</v>
          </cell>
          <cell r="E117">
            <v>0.12793979303857017</v>
          </cell>
          <cell r="F117">
            <v>0.1065420560747663</v>
          </cell>
          <cell r="G117">
            <v>0.10890151515151514</v>
          </cell>
          <cell r="H117">
            <v>7.9737335834896728E-2</v>
          </cell>
          <cell r="I117">
            <v>6.9679849340866351E-2</v>
          </cell>
          <cell r="J117">
            <v>4.7144152311876741E-2</v>
          </cell>
          <cell r="K117">
            <v>9.5581605049594121E-2</v>
          </cell>
          <cell r="L117">
            <v>5.5088702147525703E-2</v>
          </cell>
          <cell r="M117">
            <v>-0.1091251175917215</v>
          </cell>
          <cell r="N117">
            <v>-0.31505576208178443</v>
          </cell>
          <cell r="O117">
            <v>-0.39921722113502933</v>
          </cell>
          <cell r="P117">
            <v>-0.39240506329113922</v>
          </cell>
          <cell r="Q117">
            <v>-0.56126482213438733</v>
          </cell>
          <cell r="R117">
            <v>-0.68786692759295498</v>
          </cell>
          <cell r="S117">
            <v>-0.6471734892787524</v>
          </cell>
          <cell r="T117">
            <v>-0.62974051896207583</v>
          </cell>
          <cell r="U117">
            <v>-0.62997903563941304</v>
          </cell>
          <cell r="V117">
            <v>-0.47307286166842666</v>
          </cell>
          <cell r="W117">
            <v>-0.15051546391752579</v>
          </cell>
          <cell r="X117">
            <v>-0.15325670498084287</v>
          </cell>
          <cell r="Y117">
            <v>-9.563758389261745E-2</v>
          </cell>
          <cell r="Z117">
            <v>-7.1669477234401313E-2</v>
          </cell>
          <cell r="AA117">
            <v>-5.5183946488294278E-2</v>
          </cell>
          <cell r="AB117">
            <v>-0.16919191919191923</v>
          </cell>
        </row>
        <row r="118">
          <cell r="C118" t="str">
            <v>Kyrgyzstan</v>
          </cell>
          <cell r="D118">
            <v>4.3290043290043378E-2</v>
          </cell>
          <cell r="E118">
            <v>-8.4033613445377853E-3</v>
          </cell>
          <cell r="F118">
            <v>2.9411764705882248E-2</v>
          </cell>
          <cell r="G118">
            <v>5.2863436123347984E-2</v>
          </cell>
          <cell r="H118">
            <v>0.15625</v>
          </cell>
          <cell r="I118">
            <v>0.10964912280701755</v>
          </cell>
          <cell r="J118">
            <v>0.1068376068376069</v>
          </cell>
          <cell r="K118">
            <v>4.9382716049382713E-2</v>
          </cell>
          <cell r="L118">
            <v>-9.6234309623430936E-2</v>
          </cell>
          <cell r="M118">
            <v>-0.12340425531914889</v>
          </cell>
          <cell r="N118">
            <v>-0.15899581589958156</v>
          </cell>
          <cell r="O118">
            <v>-0.26760563380281688</v>
          </cell>
          <cell r="P118">
            <v>-0.57983193277310918</v>
          </cell>
          <cell r="Q118">
            <v>-0.66666666666666674</v>
          </cell>
          <cell r="R118">
            <v>-0.89795918367346939</v>
          </cell>
          <cell r="S118">
            <v>-0.8911290322580645</v>
          </cell>
          <cell r="T118">
            <v>-0.92372881355932202</v>
          </cell>
          <cell r="U118">
            <v>-0.89583333333333337</v>
          </cell>
          <cell r="V118">
            <v>-0.88185654008438819</v>
          </cell>
          <cell r="W118">
            <v>-0.77405857740585771</v>
          </cell>
          <cell r="X118">
            <v>-0.80894308943089432</v>
          </cell>
          <cell r="Y118">
            <v>-0.44262295081967218</v>
          </cell>
          <cell r="Z118">
            <v>-0.45041322314049592</v>
          </cell>
          <cell r="AA118">
            <v>-0.42338709677419351</v>
          </cell>
          <cell r="AB118">
            <v>-0.44117647058823528</v>
          </cell>
        </row>
        <row r="119">
          <cell r="C119" t="str">
            <v>Lao People's Democratic Republic</v>
          </cell>
          <cell r="D119">
            <v>-1.7713365539452464E-2</v>
          </cell>
          <cell r="E119">
            <v>-1.6103059581320411E-2</v>
          </cell>
          <cell r="F119">
            <v>-9.6308186195827039E-3</v>
          </cell>
          <cell r="G119">
            <v>0</v>
          </cell>
          <cell r="H119">
            <v>-4.2622950819672156E-2</v>
          </cell>
          <cell r="I119">
            <v>-8.5106382978723416E-2</v>
          </cell>
          <cell r="J119">
            <v>-0.13911620294599014</v>
          </cell>
          <cell r="K119">
            <v>-0.14754098360655743</v>
          </cell>
          <cell r="L119">
            <v>-0.17571884984025554</v>
          </cell>
          <cell r="M119">
            <v>-0.19872813990461047</v>
          </cell>
          <cell r="N119">
            <v>-0.23162939297124596</v>
          </cell>
          <cell r="O119">
            <v>-0.44645799011532128</v>
          </cell>
          <cell r="P119">
            <v>-0.64273504273504267</v>
          </cell>
          <cell r="Q119">
            <v>-0.73684210526315796</v>
          </cell>
          <cell r="R119">
            <v>-0.98477157360406087</v>
          </cell>
          <cell r="S119">
            <v>-0.73448275862068968</v>
          </cell>
          <cell r="T119">
            <v>-0.73162393162393169</v>
          </cell>
          <cell r="U119">
            <v>-0.91114982578397208</v>
          </cell>
          <cell r="V119">
            <v>-0.85590277777777779</v>
          </cell>
          <cell r="W119">
            <v>-0.84990958408679929</v>
          </cell>
          <cell r="X119">
            <v>-0.84317343173431736</v>
          </cell>
          <cell r="Y119">
            <v>-0.57400722021660644</v>
          </cell>
          <cell r="Z119">
            <v>-0.56962025316455689</v>
          </cell>
          <cell r="AA119">
            <v>-0.56330275229357796</v>
          </cell>
          <cell r="AB119">
            <v>-0.62126865671641784</v>
          </cell>
        </row>
        <row r="120">
          <cell r="C120" t="str">
            <v>Latvia</v>
          </cell>
          <cell r="D120">
            <v>4.0000000000000036E-2</v>
          </cell>
          <cell r="E120">
            <v>9.1883614088821286E-3</v>
          </cell>
          <cell r="F120">
            <v>1.388888888888884E-2</v>
          </cell>
          <cell r="G120">
            <v>1.8518518518518601E-2</v>
          </cell>
          <cell r="H120">
            <v>2.1638330757341562E-2</v>
          </cell>
          <cell r="I120">
            <v>2.782071097372496E-2</v>
          </cell>
          <cell r="J120">
            <v>1.3803680981595123E-2</v>
          </cell>
          <cell r="K120">
            <v>2.2658610271903301E-2</v>
          </cell>
          <cell r="L120">
            <v>2.9498525073746285E-2</v>
          </cell>
          <cell r="M120">
            <v>3.1065088757396442E-2</v>
          </cell>
          <cell r="N120">
            <v>7.5075075075075048E-3</v>
          </cell>
          <cell r="O120">
            <v>-0.87280701754385959</v>
          </cell>
          <cell r="P120">
            <v>-0.91739674593241549</v>
          </cell>
          <cell r="Q120">
            <v>-0.91656288916562889</v>
          </cell>
          <cell r="R120">
            <v>-0.91625615763546797</v>
          </cell>
          <cell r="S120">
            <v>-0.96415327564894937</v>
          </cell>
          <cell r="T120">
            <v>-0.94074074074074077</v>
          </cell>
          <cell r="U120">
            <v>-0.90563725490196079</v>
          </cell>
          <cell r="V120">
            <v>-0.80969696969696969</v>
          </cell>
          <cell r="W120">
            <v>-0.77376654632972319</v>
          </cell>
          <cell r="X120">
            <v>-0.7686996547756042</v>
          </cell>
          <cell r="Y120">
            <v>-0.65113636363636362</v>
          </cell>
          <cell r="Z120">
            <v>-0.6167800453514739</v>
          </cell>
          <cell r="AA120">
            <v>-0.59540229885057472</v>
          </cell>
          <cell r="AB120">
            <v>-0.62661955241460543</v>
          </cell>
        </row>
        <row r="121">
          <cell r="C121" t="str">
            <v>Lebanon</v>
          </cell>
          <cell r="D121">
            <v>-3.5087719298245612E-2</v>
          </cell>
          <cell r="E121">
            <v>-7.0270270270270219E-2</v>
          </cell>
          <cell r="F121">
            <v>-7.2727272727272751E-2</v>
          </cell>
          <cell r="G121">
            <v>-9.9999999999999978E-2</v>
          </cell>
          <cell r="H121">
            <v>-9.5588235294117641E-2</v>
          </cell>
          <cell r="I121">
            <v>-7.9482439926062853E-2</v>
          </cell>
          <cell r="J121">
            <v>-6.203007518796988E-2</v>
          </cell>
          <cell r="K121">
            <v>-8.4586466165413543E-2</v>
          </cell>
          <cell r="L121">
            <v>-0.11851851851851847</v>
          </cell>
          <cell r="M121">
            <v>-0.20887245841035118</v>
          </cell>
          <cell r="N121">
            <v>-0.32899628252788105</v>
          </cell>
          <cell r="O121">
            <v>-0.89757914338919931</v>
          </cell>
          <cell r="P121">
            <v>-0.92486583184257598</v>
          </cell>
          <cell r="Q121">
            <v>-0.94159292035398234</v>
          </cell>
          <cell r="R121">
            <v>-0.62538699690402477</v>
          </cell>
          <cell r="S121">
            <v>-0.94582043343653255</v>
          </cell>
          <cell r="T121">
            <v>-0.94290375203915167</v>
          </cell>
          <cell r="U121">
            <v>-0.91760299625468167</v>
          </cell>
          <cell r="V121">
            <v>-0.85714285714285721</v>
          </cell>
          <cell r="W121">
            <v>-0.7919847328244275</v>
          </cell>
          <cell r="X121">
            <v>-0.7624784853700517</v>
          </cell>
          <cell r="Y121">
            <v>-0.61299852289512557</v>
          </cell>
          <cell r="Z121">
            <v>-0.35095447870778262</v>
          </cell>
          <cell r="AA121">
            <v>-0.33572453371592537</v>
          </cell>
          <cell r="AB121">
            <v>-0.43484224965706442</v>
          </cell>
        </row>
        <row r="122">
          <cell r="C122" t="str">
            <v>Lesotho</v>
          </cell>
          <cell r="D122">
            <v>5.0000000000000044E-2</v>
          </cell>
          <cell r="E122">
            <v>0</v>
          </cell>
          <cell r="F122">
            <v>-9.5238095238095233E-2</v>
          </cell>
          <cell r="G122">
            <v>-0.19047619047619047</v>
          </cell>
          <cell r="H122">
            <v>-9.5238095238095233E-2</v>
          </cell>
          <cell r="I122">
            <v>-9.5238095238095233E-2</v>
          </cell>
          <cell r="J122">
            <v>-9.5238095238095233E-2</v>
          </cell>
          <cell r="K122">
            <v>-9.5238095238095233E-2</v>
          </cell>
          <cell r="L122">
            <v>-4.7619047619047672E-2</v>
          </cell>
          <cell r="M122">
            <v>-4.7619047619047672E-2</v>
          </cell>
          <cell r="N122">
            <v>-9.5238095238095233E-2</v>
          </cell>
          <cell r="O122">
            <v>-0.66666666666666674</v>
          </cell>
          <cell r="P122">
            <v>-1</v>
          </cell>
          <cell r="Q122">
            <v>-1</v>
          </cell>
          <cell r="R122">
            <v>-1</v>
          </cell>
          <cell r="S122">
            <v>-0.8</v>
          </cell>
          <cell r="T122">
            <v>-0.90476190476190477</v>
          </cell>
          <cell r="U122">
            <v>-1</v>
          </cell>
          <cell r="V122">
            <v>-1</v>
          </cell>
          <cell r="W122">
            <v>-1</v>
          </cell>
          <cell r="X122">
            <v>-1</v>
          </cell>
          <cell r="Y122">
            <v>-1</v>
          </cell>
          <cell r="Z122">
            <v>-0.61904761904761907</v>
          </cell>
          <cell r="AA122">
            <v>-0.33333333333333337</v>
          </cell>
          <cell r="AB122">
            <v>-0.4285714285714286</v>
          </cell>
        </row>
        <row r="123">
          <cell r="C123" t="str">
            <v>Liberia</v>
          </cell>
          <cell r="D123">
            <v>0.13043478260869557</v>
          </cell>
          <cell r="E123">
            <v>-7.2727272727272751E-2</v>
          </cell>
          <cell r="F123">
            <v>2.0833333333333259E-2</v>
          </cell>
          <cell r="G123">
            <v>4.1666666666666741E-2</v>
          </cell>
          <cell r="H123">
            <v>6.3829787234042534E-2</v>
          </cell>
          <cell r="I123">
            <v>6.3829787234042534E-2</v>
          </cell>
          <cell r="J123">
            <v>6.3829787234042534E-2</v>
          </cell>
          <cell r="K123">
            <v>0</v>
          </cell>
          <cell r="L123">
            <v>2.0408163265306145E-2</v>
          </cell>
          <cell r="M123">
            <v>6.3829787234042534E-2</v>
          </cell>
          <cell r="N123">
            <v>-6.25E-2</v>
          </cell>
          <cell r="O123">
            <v>-0.39583333333333337</v>
          </cell>
          <cell r="P123">
            <v>-0.83333333333333337</v>
          </cell>
          <cell r="Q123">
            <v>-0.85416666666666663</v>
          </cell>
          <cell r="R123">
            <v>-0.85106382978723405</v>
          </cell>
          <cell r="S123">
            <v>-0.85106382978723405</v>
          </cell>
          <cell r="T123">
            <v>-0.8666666666666667</v>
          </cell>
          <cell r="U123">
            <v>-0.91489361702127658</v>
          </cell>
          <cell r="V123">
            <v>-0.78723404255319152</v>
          </cell>
          <cell r="W123">
            <v>-0.57446808510638303</v>
          </cell>
          <cell r="X123">
            <v>-0.48936170212765961</v>
          </cell>
          <cell r="Y123">
            <v>-0.35416666666666663</v>
          </cell>
          <cell r="Z123">
            <v>-0.34693877551020413</v>
          </cell>
          <cell r="AA123">
            <v>-0.20408163265306123</v>
          </cell>
          <cell r="AB123">
            <v>-0.18367346938775508</v>
          </cell>
        </row>
        <row r="124">
          <cell r="C124" t="str">
            <v>Libya</v>
          </cell>
          <cell r="D124">
            <v>0.75789473684210518</v>
          </cell>
          <cell r="E124">
            <v>0.68421052631578938</v>
          </cell>
          <cell r="F124">
            <v>0.56862745098039214</v>
          </cell>
          <cell r="G124">
            <v>0.49019607843137258</v>
          </cell>
          <cell r="H124">
            <v>9.8039215686274606E-2</v>
          </cell>
          <cell r="I124">
            <v>9.8039215686274606E-2</v>
          </cell>
          <cell r="J124">
            <v>9.009009009008917E-3</v>
          </cell>
          <cell r="K124">
            <v>0</v>
          </cell>
          <cell r="L124">
            <v>-1.8018018018018056E-2</v>
          </cell>
          <cell r="M124">
            <v>5.4054054054053946E-2</v>
          </cell>
          <cell r="N124">
            <v>-4.0322580645161255E-2</v>
          </cell>
          <cell r="O124">
            <v>0.68333333333333335</v>
          </cell>
          <cell r="P124">
            <v>1.7749999999999999</v>
          </cell>
          <cell r="Q124">
            <v>-0.11199999999999999</v>
          </cell>
          <cell r="R124">
            <v>-0.15267175572519087</v>
          </cell>
          <cell r="S124">
            <v>-0.15267175572519087</v>
          </cell>
          <cell r="T124">
            <v>-0.41984732824427484</v>
          </cell>
          <cell r="U124">
            <v>-9.7560975609756073E-2</v>
          </cell>
          <cell r="V124">
            <v>-3.4782608695652195E-2</v>
          </cell>
          <cell r="W124">
            <v>-0.16541353383458646</v>
          </cell>
          <cell r="X124">
            <v>-0.17777777777777781</v>
          </cell>
          <cell r="Y124">
            <v>-0.80419580419580416</v>
          </cell>
          <cell r="Z124">
            <v>-0.80419580419580416</v>
          </cell>
          <cell r="AA124">
            <v>-0.79562043795620441</v>
          </cell>
          <cell r="AB124">
            <v>-0.8110236220472441</v>
          </cell>
        </row>
        <row r="125">
          <cell r="C125" t="str">
            <v>Lithuania</v>
          </cell>
          <cell r="D125">
            <v>3.167420814479649E-2</v>
          </cell>
          <cell r="E125">
            <v>2.5462962962963021E-2</v>
          </cell>
          <cell r="F125">
            <v>3.488372093023262E-2</v>
          </cell>
          <cell r="G125">
            <v>2.2988505747126409E-2</v>
          </cell>
          <cell r="H125">
            <v>2.517162471395884E-2</v>
          </cell>
          <cell r="I125">
            <v>2.2727272727272707E-2</v>
          </cell>
          <cell r="J125">
            <v>2.947845804988658E-2</v>
          </cell>
          <cell r="K125">
            <v>2.9147982062780242E-2</v>
          </cell>
          <cell r="L125">
            <v>3.5874439461883512E-2</v>
          </cell>
          <cell r="M125">
            <v>2.0224719101123556E-2</v>
          </cell>
          <cell r="N125">
            <v>-2.2624434389140302E-2</v>
          </cell>
          <cell r="O125">
            <v>-0.7544642857142857</v>
          </cell>
          <cell r="P125">
            <v>-0.82947368421052636</v>
          </cell>
          <cell r="Q125">
            <v>-0.82563025210084029</v>
          </cell>
          <cell r="R125">
            <v>-0.83297180043383945</v>
          </cell>
          <cell r="S125">
            <v>-0.97736625514403297</v>
          </cell>
          <cell r="T125">
            <v>-0.89779559118236474</v>
          </cell>
          <cell r="U125">
            <v>-0.78443113772455086</v>
          </cell>
          <cell r="V125">
            <v>-0.64313725490196072</v>
          </cell>
          <cell r="W125">
            <v>-0.62035225048923681</v>
          </cell>
          <cell r="X125">
            <v>-0.58600000000000008</v>
          </cell>
          <cell r="Y125">
            <v>-0.32677165354330706</v>
          </cell>
          <cell r="Z125">
            <v>-0.31007751937984496</v>
          </cell>
          <cell r="AA125">
            <v>-0.25</v>
          </cell>
          <cell r="AB125">
            <v>-0.37181996086105673</v>
          </cell>
        </row>
        <row r="126">
          <cell r="C126" t="str">
            <v>Luxembourg</v>
          </cell>
          <cell r="D126">
            <v>9.7065462753950449E-2</v>
          </cell>
          <cell r="E126">
            <v>4.4967880085653E-2</v>
          </cell>
          <cell r="F126">
            <v>5.2966101694915224E-2</v>
          </cell>
          <cell r="G126">
            <v>5.5201698513800412E-2</v>
          </cell>
          <cell r="H126">
            <v>4.7817047817047875E-2</v>
          </cell>
          <cell r="I126">
            <v>7.5819672131147486E-2</v>
          </cell>
          <cell r="J126">
            <v>5.8232931726907688E-2</v>
          </cell>
          <cell r="K126">
            <v>6.6666666666666652E-2</v>
          </cell>
          <cell r="L126">
            <v>6.68016194331984E-2</v>
          </cell>
          <cell r="M126">
            <v>4.1753653444676075E-3</v>
          </cell>
          <cell r="N126">
            <v>-0.20668058455114824</v>
          </cell>
          <cell r="O126">
            <v>-0.84297520661157022</v>
          </cell>
          <cell r="P126">
            <v>-0.95787545787545791</v>
          </cell>
          <cell r="Q126">
            <v>-0.97495527728085862</v>
          </cell>
          <cell r="R126">
            <v>-0.99459459459459465</v>
          </cell>
          <cell r="S126">
            <v>-0.99095840867992768</v>
          </cell>
          <cell r="T126">
            <v>-0.99110320284697506</v>
          </cell>
          <cell r="U126">
            <v>-0.99102333931777375</v>
          </cell>
          <cell r="V126">
            <v>-0.98426573426573427</v>
          </cell>
          <cell r="W126">
            <v>-0.92</v>
          </cell>
          <cell r="X126">
            <v>-0.82238010657193605</v>
          </cell>
          <cell r="Y126">
            <v>-0.11571675302245255</v>
          </cell>
          <cell r="Z126">
            <v>-0.10664335664335667</v>
          </cell>
          <cell r="AA126">
            <v>-0.10571923743500866</v>
          </cell>
          <cell r="AB126">
            <v>-0.241852487135506</v>
          </cell>
        </row>
        <row r="127">
          <cell r="C127" t="str">
            <v>Macao (sar) China</v>
          </cell>
          <cell r="D127">
            <v>9.8360655737705027E-2</v>
          </cell>
          <cell r="E127">
            <v>0.11809045226130643</v>
          </cell>
          <cell r="F127">
            <v>0.14637146371463716</v>
          </cell>
          <cell r="G127">
            <v>0.11097852028639621</v>
          </cell>
          <cell r="H127">
            <v>-0.18577981651376152</v>
          </cell>
          <cell r="I127">
            <v>-0.55529685681024454</v>
          </cell>
          <cell r="J127">
            <v>-0.65222623345367026</v>
          </cell>
          <cell r="K127">
            <v>-0.58645707376058043</v>
          </cell>
          <cell r="L127">
            <v>-0.61008610086100856</v>
          </cell>
          <cell r="M127">
            <v>-0.67037037037037039</v>
          </cell>
          <cell r="N127">
            <v>-0.61764705882352944</v>
          </cell>
          <cell r="O127">
            <v>-0.66626065773447019</v>
          </cell>
          <cell r="P127">
            <v>-0.72320376914016493</v>
          </cell>
          <cell r="Q127">
            <v>-0.91431924882629112</v>
          </cell>
          <cell r="R127">
            <v>-0.91549295774647887</v>
          </cell>
          <cell r="S127">
            <v>-0.98245614035087714</v>
          </cell>
          <cell r="T127">
            <v>-0.95657142857142863</v>
          </cell>
          <cell r="U127">
            <v>-0.9242424242424242</v>
          </cell>
          <cell r="V127">
            <v>-0.91345029239766085</v>
          </cell>
          <cell r="W127">
            <v>-0.90402843601895733</v>
          </cell>
          <cell r="X127">
            <v>-0.89952718676122934</v>
          </cell>
          <cell r="Y127">
            <v>-0.25087924970691677</v>
          </cell>
          <cell r="Z127">
            <v>-0.22091656874265575</v>
          </cell>
          <cell r="AA127">
            <v>-0.23502304147465436</v>
          </cell>
          <cell r="AB127">
            <v>-0.33977272727272723</v>
          </cell>
        </row>
        <row r="128">
          <cell r="C128" t="str">
            <v>Macedonia Former Yugoslav Republic of</v>
          </cell>
          <cell r="D128">
            <v>0.11724137931034484</v>
          </cell>
          <cell r="E128">
            <v>0.1278195488721805</v>
          </cell>
          <cell r="F128">
            <v>0.12686567164179108</v>
          </cell>
          <cell r="G128">
            <v>0.1278195488721805</v>
          </cell>
          <cell r="H128">
            <v>0.1278195488721805</v>
          </cell>
          <cell r="I128">
            <v>0.13432835820895517</v>
          </cell>
          <cell r="J128">
            <v>0.13533834586466176</v>
          </cell>
          <cell r="K128">
            <v>0.11029411764705888</v>
          </cell>
          <cell r="L128">
            <v>0.14179104477611948</v>
          </cell>
          <cell r="M128">
            <v>0.11029411764705888</v>
          </cell>
          <cell r="N128">
            <v>5.5944055944056048E-2</v>
          </cell>
          <cell r="O128">
            <v>-0.36054421768707479</v>
          </cell>
          <cell r="P128">
            <v>-0.28220858895705525</v>
          </cell>
          <cell r="Q128">
            <v>-0.28742514970059885</v>
          </cell>
          <cell r="R128">
            <v>-0.33333333333333337</v>
          </cell>
          <cell r="S128">
            <v>-0.51098901098901095</v>
          </cell>
          <cell r="T128">
            <v>-0.40217391304347827</v>
          </cell>
          <cell r="U128">
            <v>-0.30681818181818177</v>
          </cell>
          <cell r="V128">
            <v>-0.22023809523809523</v>
          </cell>
          <cell r="W128">
            <v>-0.18674698795180722</v>
          </cell>
          <cell r="X128">
            <v>-0.12429378531073443</v>
          </cell>
          <cell r="Y128">
            <v>9.3922651933701751E-2</v>
          </cell>
          <cell r="Z128">
            <v>0.1063829787234043</v>
          </cell>
          <cell r="AA128">
            <v>7.1794871794871762E-2</v>
          </cell>
          <cell r="AB128">
            <v>-5.2631578947368474E-2</v>
          </cell>
        </row>
        <row r="129">
          <cell r="C129" t="str">
            <v>Madagascar</v>
          </cell>
          <cell r="D129">
            <v>0.12666666666666671</v>
          </cell>
          <cell r="E129">
            <v>5.5194805194805241E-2</v>
          </cell>
          <cell r="F129">
            <v>-1.6447368421052655E-2</v>
          </cell>
          <cell r="G129">
            <v>-3.0201342281879207E-2</v>
          </cell>
          <cell r="H129">
            <v>-2.3569023569023573E-2</v>
          </cell>
          <cell r="I129">
            <v>-5.0335570469798641E-2</v>
          </cell>
          <cell r="J129">
            <v>-4.8275862068965503E-2</v>
          </cell>
          <cell r="K129">
            <v>-3.0716723549488067E-2</v>
          </cell>
          <cell r="L129">
            <v>8.503401360544216E-2</v>
          </cell>
          <cell r="M129">
            <v>6.2706270627062688E-2</v>
          </cell>
          <cell r="N129">
            <v>6.6445182724252483E-2</v>
          </cell>
          <cell r="O129">
            <v>-0.10726643598615915</v>
          </cell>
          <cell r="P129">
            <v>-0.25795053003533563</v>
          </cell>
          <cell r="Q129">
            <v>-0.1690647482014388</v>
          </cell>
          <cell r="R129">
            <v>-0.1684587813620072</v>
          </cell>
          <cell r="S129">
            <v>-7.8853046594982046E-2</v>
          </cell>
          <cell r="T129">
            <v>-0.1648351648351648</v>
          </cell>
          <cell r="U129">
            <v>-0.92307692307692313</v>
          </cell>
          <cell r="V129">
            <v>-0.76102941176470584</v>
          </cell>
          <cell r="W129">
            <v>-0.71804511278195493</v>
          </cell>
          <cell r="X129">
            <v>-0.68045112781954886</v>
          </cell>
          <cell r="Y129">
            <v>-0.67547169811320762</v>
          </cell>
          <cell r="Z129">
            <v>-0.66666666666666674</v>
          </cell>
          <cell r="AA129">
            <v>-0.64944649446494462</v>
          </cell>
          <cell r="AB129">
            <v>-0.69314079422382679</v>
          </cell>
        </row>
        <row r="130">
          <cell r="C130" t="str">
            <v>Malawi</v>
          </cell>
          <cell r="D130">
            <v>-0.26453488372093026</v>
          </cell>
          <cell r="E130">
            <v>-3.5019455252918275E-2</v>
          </cell>
          <cell r="F130">
            <v>1.3574660633484115E-2</v>
          </cell>
          <cell r="G130">
            <v>-2.7649769585253448E-2</v>
          </cell>
          <cell r="H130">
            <v>-0.1919642857142857</v>
          </cell>
          <cell r="I130">
            <v>-0.19730941704035876</v>
          </cell>
          <cell r="J130">
            <v>0.1751152073732718</v>
          </cell>
          <cell r="K130">
            <v>0.15909090909090917</v>
          </cell>
          <cell r="L130">
            <v>0.16438356164383561</v>
          </cell>
          <cell r="M130">
            <v>0.34594594594594597</v>
          </cell>
          <cell r="N130">
            <v>0.90209790209790208</v>
          </cell>
          <cell r="O130">
            <v>0.75641025641025639</v>
          </cell>
          <cell r="P130">
            <v>0.58518518518518525</v>
          </cell>
          <cell r="Q130">
            <v>-0.31446540880503149</v>
          </cell>
          <cell r="R130">
            <v>-0.41474654377880182</v>
          </cell>
          <cell r="S130">
            <v>-0.32743362831858402</v>
          </cell>
          <cell r="T130">
            <v>-0.44206008583690992</v>
          </cell>
          <cell r="U130">
            <v>-1</v>
          </cell>
          <cell r="V130">
            <v>-0.97925311203319498</v>
          </cell>
          <cell r="W130">
            <v>-0.88461538461538458</v>
          </cell>
          <cell r="X130">
            <v>-0.8902439024390244</v>
          </cell>
          <cell r="Y130">
            <v>-0.59202453987730064</v>
          </cell>
          <cell r="Z130">
            <v>-0.5902140672782874</v>
          </cell>
          <cell r="AA130">
            <v>-0.58769230769230774</v>
          </cell>
          <cell r="AB130">
            <v>-0.65432098765432101</v>
          </cell>
        </row>
        <row r="131">
          <cell r="C131" t="str">
            <v>Malaysia</v>
          </cell>
          <cell r="D131">
            <v>6.9407815871493694E-2</v>
          </cell>
          <cell r="E131">
            <v>7.4060737006361732E-2</v>
          </cell>
          <cell r="F131">
            <v>0.11622623460480686</v>
          </cell>
          <cell r="G131">
            <v>7.4485125858123613E-2</v>
          </cell>
          <cell r="H131">
            <v>-1.5956259763445613E-2</v>
          </cell>
          <cell r="I131">
            <v>-1.1982947344164052E-2</v>
          </cell>
          <cell r="J131">
            <v>-1.6381681214875043E-2</v>
          </cell>
          <cell r="K131">
            <v>-5.8476077968103946E-2</v>
          </cell>
          <cell r="L131">
            <v>-0.13911219853198187</v>
          </cell>
          <cell r="M131">
            <v>-0.16438356164383561</v>
          </cell>
          <cell r="N131">
            <v>-0.18185032410135538</v>
          </cell>
          <cell r="O131">
            <v>-0.64341446372423428</v>
          </cell>
          <cell r="P131">
            <v>-0.55293981213034904</v>
          </cell>
          <cell r="Q131">
            <v>-0.58201180692209742</v>
          </cell>
          <cell r="R131">
            <v>-0.83457076566125288</v>
          </cell>
          <cell r="S131">
            <v>-0.91537751096744402</v>
          </cell>
          <cell r="T131">
            <v>-0.82085186051954129</v>
          </cell>
          <cell r="U131">
            <v>-0.90331075996990218</v>
          </cell>
          <cell r="V131">
            <v>-0.80020439448134906</v>
          </cell>
          <cell r="W131">
            <v>-0.64931846344485744</v>
          </cell>
          <cell r="X131">
            <v>-0.67421642644703728</v>
          </cell>
          <cell r="Y131">
            <v>-0.24086633121855172</v>
          </cell>
          <cell r="Z131">
            <v>-0.24498080087767415</v>
          </cell>
          <cell r="AA131">
            <v>-0.20236302559944397</v>
          </cell>
          <cell r="AB131">
            <v>-0.31499535747446616</v>
          </cell>
        </row>
        <row r="132">
          <cell r="C132" t="str">
            <v>Maldives</v>
          </cell>
          <cell r="D132">
            <v>0.379737609329446</v>
          </cell>
          <cell r="E132">
            <v>0.37920937042459735</v>
          </cell>
          <cell r="F132">
            <v>0.3773722627737226</v>
          </cell>
          <cell r="G132">
            <v>0.36872727272727279</v>
          </cell>
          <cell r="H132">
            <v>0.35880640465793312</v>
          </cell>
          <cell r="I132">
            <v>0.34231609613983971</v>
          </cell>
          <cell r="J132">
            <v>0.27525622254758408</v>
          </cell>
          <cell r="K132">
            <v>0.27346041055718473</v>
          </cell>
          <cell r="L132">
            <v>0.26354319180087837</v>
          </cell>
          <cell r="M132">
            <v>0.25988286969253305</v>
          </cell>
          <cell r="N132">
            <v>0.252377468910022</v>
          </cell>
          <cell r="O132">
            <v>0.13961038961038952</v>
          </cell>
          <cell r="P132">
            <v>1.9550102249488752</v>
          </cell>
          <cell r="Q132">
            <v>1.9131313131313132</v>
          </cell>
          <cell r="R132">
            <v>1.9173553719008263</v>
          </cell>
          <cell r="S132">
            <v>-0.62875939849624063</v>
          </cell>
          <cell r="T132">
            <v>-0.6432692307692307</v>
          </cell>
          <cell r="U132">
            <v>-0.88737864077669903</v>
          </cell>
          <cell r="V132">
            <v>-0.86048780487804877</v>
          </cell>
          <cell r="W132">
            <v>-0.9221789883268483</v>
          </cell>
          <cell r="X132">
            <v>-0.91970121381886083</v>
          </cell>
          <cell r="Y132">
            <v>-0.85236768802228413</v>
          </cell>
          <cell r="Z132">
            <v>-0.85422469823584035</v>
          </cell>
          <cell r="AA132">
            <v>-0.84873949579831931</v>
          </cell>
          <cell r="AB132">
            <v>-0.87301587301587302</v>
          </cell>
        </row>
        <row r="133">
          <cell r="C133" t="str">
            <v>Mali</v>
          </cell>
          <cell r="D133">
            <v>6.0344827586206851E-2</v>
          </cell>
          <cell r="E133">
            <v>8.0357142857142794E-2</v>
          </cell>
          <cell r="F133">
            <v>0.11214953271028039</v>
          </cell>
          <cell r="G133">
            <v>0.1588785046728971</v>
          </cell>
          <cell r="H133">
            <v>0.14953271028037385</v>
          </cell>
          <cell r="I133">
            <v>0.13888888888888884</v>
          </cell>
          <cell r="J133">
            <v>0.13084112149532712</v>
          </cell>
          <cell r="K133">
            <v>0.15740740740740744</v>
          </cell>
          <cell r="L133">
            <v>0.19047619047619047</v>
          </cell>
          <cell r="M133">
            <v>0.16037735849056611</v>
          </cell>
          <cell r="N133">
            <v>8.4112149532710179E-2</v>
          </cell>
          <cell r="O133">
            <v>-0.53535353535353536</v>
          </cell>
          <cell r="P133">
            <v>-0.59615384615384615</v>
          </cell>
          <cell r="Q133">
            <v>-0.60377358490566035</v>
          </cell>
          <cell r="R133">
            <v>-0.73394495412844041</v>
          </cell>
          <cell r="S133">
            <v>-0.85321100917431192</v>
          </cell>
          <cell r="T133">
            <v>-0.68518518518518512</v>
          </cell>
          <cell r="U133">
            <v>-0.78095238095238095</v>
          </cell>
          <cell r="V133">
            <v>-0.7047619047619047</v>
          </cell>
          <cell r="W133">
            <v>-0.55882352941176472</v>
          </cell>
          <cell r="X133">
            <v>-0.48</v>
          </cell>
          <cell r="Y133">
            <v>-5.7142857142857162E-2</v>
          </cell>
          <cell r="Z133">
            <v>-9.0909090909090939E-2</v>
          </cell>
          <cell r="AA133">
            <v>8.7719298245614086E-2</v>
          </cell>
          <cell r="AB133">
            <v>-9.4827586206896575E-2</v>
          </cell>
        </row>
        <row r="134">
          <cell r="C134" t="str">
            <v>Malta</v>
          </cell>
          <cell r="D134">
            <v>0.11849710982658967</v>
          </cell>
          <cell r="E134">
            <v>9.7264437689969618E-2</v>
          </cell>
          <cell r="F134">
            <v>7.8313253012048278E-2</v>
          </cell>
          <cell r="G134">
            <v>3.9156626506024139E-2</v>
          </cell>
          <cell r="H134">
            <v>0.11314984709480114</v>
          </cell>
          <cell r="I134">
            <v>0.10914454277286145</v>
          </cell>
          <cell r="J134">
            <v>0.11436950146627556</v>
          </cell>
          <cell r="K134">
            <v>8.8068181818181879E-2</v>
          </cell>
          <cell r="L134">
            <v>5.9782608695652106E-2</v>
          </cell>
          <cell r="M134">
            <v>4.0871934604904681E-2</v>
          </cell>
          <cell r="N134">
            <v>-0.30563002680965146</v>
          </cell>
          <cell r="O134">
            <v>-0.7769028871391076</v>
          </cell>
          <cell r="P134">
            <v>-0.90138067061143978</v>
          </cell>
          <cell r="Q134">
            <v>-0.9178082191780822</v>
          </cell>
          <cell r="R134">
            <v>-0.93036750483558994</v>
          </cell>
          <cell r="S134">
            <v>-0.87907869481765832</v>
          </cell>
          <cell r="T134">
            <v>-0.86363636363636365</v>
          </cell>
          <cell r="U134">
            <v>-0.80681818181818188</v>
          </cell>
          <cell r="V134">
            <v>-0.80608365019011408</v>
          </cell>
          <cell r="W134">
            <v>-0.73773584905660372</v>
          </cell>
          <cell r="X134">
            <v>-0.71614100185528762</v>
          </cell>
          <cell r="Y134">
            <v>-0.24231464737793851</v>
          </cell>
          <cell r="Z134">
            <v>-0.25089605734767029</v>
          </cell>
          <cell r="AA134">
            <v>-0.21841155234657039</v>
          </cell>
          <cell r="AB134">
            <v>-0.30086956521739128</v>
          </cell>
        </row>
        <row r="135">
          <cell r="C135" t="str">
            <v>Marshall Islands</v>
          </cell>
          <cell r="D135">
            <v>-0.52845528455284552</v>
          </cell>
          <cell r="E135">
            <v>-0.52800000000000002</v>
          </cell>
          <cell r="F135">
            <v>-0.52800000000000002</v>
          </cell>
          <cell r="G135">
            <v>-0.54400000000000004</v>
          </cell>
          <cell r="H135">
            <v>-0.57600000000000007</v>
          </cell>
          <cell r="I135">
            <v>-8.6206896551724088E-2</v>
          </cell>
          <cell r="J135">
            <v>-0.10344827586206895</v>
          </cell>
          <cell r="K135">
            <v>-0.10169491525423724</v>
          </cell>
          <cell r="L135">
            <v>-3.6363636363636376E-2</v>
          </cell>
          <cell r="M135">
            <v>0.10909090909090913</v>
          </cell>
          <cell r="N135">
            <v>5.4545454545454453E-2</v>
          </cell>
          <cell r="O135">
            <v>-0.41176470588235292</v>
          </cell>
          <cell r="P135">
            <v>-0.72222222222222221</v>
          </cell>
          <cell r="Q135">
            <v>-0.73214285714285721</v>
          </cell>
          <cell r="R135">
            <v>-0.51785714285714279</v>
          </cell>
          <cell r="S135">
            <v>-0.63414634146341464</v>
          </cell>
          <cell r="T135">
            <v>-0.65116279069767447</v>
          </cell>
          <cell r="U135">
            <v>-0.8085106382978724</v>
          </cell>
          <cell r="V135">
            <v>-0.81632653061224492</v>
          </cell>
          <cell r="W135">
            <v>-0.52272727272727271</v>
          </cell>
          <cell r="X135">
            <v>-0.8085106382978724</v>
          </cell>
          <cell r="Y135">
            <v>-0.82000000000000006</v>
          </cell>
          <cell r="Z135">
            <v>-0.82352941176470584</v>
          </cell>
          <cell r="AA135">
            <v>-0.58823529411764708</v>
          </cell>
          <cell r="AB135">
            <v>-0.82692307692307687</v>
          </cell>
        </row>
        <row r="136">
          <cell r="C136" t="str">
            <v>Martinique</v>
          </cell>
          <cell r="D136">
            <v>-1.8604651162790753E-2</v>
          </cell>
          <cell r="E136">
            <v>-4.9261083743842304E-3</v>
          </cell>
          <cell r="F136">
            <v>-9.4339622641509413E-2</v>
          </cell>
          <cell r="G136">
            <v>-8.9201877934272256E-2</v>
          </cell>
          <cell r="H136">
            <v>-7.870370370370372E-2</v>
          </cell>
          <cell r="I136">
            <v>-4.6511627906976716E-2</v>
          </cell>
          <cell r="J136">
            <v>-5.4298642533936681E-2</v>
          </cell>
          <cell r="K136">
            <v>-6.956521739130439E-2</v>
          </cell>
          <cell r="L136">
            <v>-0.11688311688311692</v>
          </cell>
          <cell r="M136">
            <v>-7.906976744186045E-2</v>
          </cell>
          <cell r="N136">
            <v>-0.1004784688995215</v>
          </cell>
          <cell r="O136">
            <v>-0.19806763285024154</v>
          </cell>
          <cell r="P136">
            <v>-0.5</v>
          </cell>
          <cell r="Q136">
            <v>-0.484375</v>
          </cell>
          <cell r="R136">
            <v>-0.52631578947368429</v>
          </cell>
          <cell r="S136">
            <v>-0.55450236966824651</v>
          </cell>
          <cell r="T136">
            <v>-0.56796116504854366</v>
          </cell>
          <cell r="U136">
            <v>-0.28735632183908044</v>
          </cell>
          <cell r="V136">
            <v>-0.18343195266272194</v>
          </cell>
          <cell r="W136">
            <v>-0.13855421686746983</v>
          </cell>
          <cell r="X136">
            <v>-0.15568862275449102</v>
          </cell>
          <cell r="Y136">
            <v>-0.12426035502958577</v>
          </cell>
          <cell r="Z136">
            <v>-6.8571428571428616E-2</v>
          </cell>
          <cell r="AA136">
            <v>1.1235955056179803E-2</v>
          </cell>
          <cell r="AB136">
            <v>-0.13368983957219249</v>
          </cell>
        </row>
        <row r="137">
          <cell r="C137" t="str">
            <v>Mauritania</v>
          </cell>
          <cell r="D137">
            <v>0.13461538461538458</v>
          </cell>
          <cell r="E137">
            <v>0.12380952380952381</v>
          </cell>
          <cell r="F137">
            <v>0.10280373831775691</v>
          </cell>
          <cell r="G137">
            <v>0.15686274509803932</v>
          </cell>
          <cell r="H137">
            <v>0.17999999999999994</v>
          </cell>
          <cell r="I137">
            <v>0.15686274509803932</v>
          </cell>
          <cell r="J137">
            <v>0.15686274509803932</v>
          </cell>
          <cell r="K137">
            <v>0.14563106796116498</v>
          </cell>
          <cell r="L137">
            <v>0.14563106796116498</v>
          </cell>
          <cell r="M137">
            <v>0.15686274509803932</v>
          </cell>
          <cell r="N137">
            <v>0.10784313725490202</v>
          </cell>
          <cell r="O137">
            <v>-0.47572815533980584</v>
          </cell>
          <cell r="P137">
            <v>-0.18446601941747576</v>
          </cell>
          <cell r="Q137">
            <v>-0.28037383177570097</v>
          </cell>
          <cell r="R137">
            <v>-0.53211009174311918</v>
          </cell>
          <cell r="S137">
            <v>-0.94495412844036697</v>
          </cell>
          <cell r="T137">
            <v>-0.62745098039215685</v>
          </cell>
          <cell r="U137">
            <v>-0.93069306930693063</v>
          </cell>
          <cell r="V137">
            <v>-0.93069306930693063</v>
          </cell>
          <cell r="W137">
            <v>-0.93069306930693063</v>
          </cell>
          <cell r="X137">
            <v>-0.86868686868686873</v>
          </cell>
          <cell r="Y137">
            <v>9.0909090909090828E-2</v>
          </cell>
          <cell r="Z137">
            <v>0.10101010101010099</v>
          </cell>
          <cell r="AA137">
            <v>0.16161616161616155</v>
          </cell>
          <cell r="AB137">
            <v>-3.0303030303030276E-2</v>
          </cell>
        </row>
        <row r="138">
          <cell r="C138" t="str">
            <v>Mauritius</v>
          </cell>
          <cell r="D138">
            <v>-1.4749262536873142E-2</v>
          </cell>
          <cell r="E138">
            <v>2.5179856115107979E-2</v>
          </cell>
          <cell r="F138">
            <v>-1.8248175182481785E-2</v>
          </cell>
          <cell r="G138">
            <v>-5.5147058823529438E-2</v>
          </cell>
          <cell r="H138">
            <v>-4.2307692307692268E-2</v>
          </cell>
          <cell r="I138">
            <v>-3.9682539682539653E-2</v>
          </cell>
          <cell r="J138">
            <v>-2.777777777777779E-2</v>
          </cell>
          <cell r="K138">
            <v>-2.371541501976282E-2</v>
          </cell>
          <cell r="L138">
            <v>-4.5627376425855459E-2</v>
          </cell>
          <cell r="M138">
            <v>-1.4925373134328401E-2</v>
          </cell>
          <cell r="N138">
            <v>-2.3076923076923106E-2</v>
          </cell>
          <cell r="O138">
            <v>-0.45161290322580649</v>
          </cell>
          <cell r="P138">
            <v>-0.97551020408163269</v>
          </cell>
          <cell r="Q138">
            <v>-0.8764044943820225</v>
          </cell>
          <cell r="R138">
            <v>-0.93174061433447097</v>
          </cell>
          <cell r="S138">
            <v>-0.99629629629629635</v>
          </cell>
          <cell r="T138">
            <v>-0.99570815450643779</v>
          </cell>
          <cell r="U138">
            <v>-0.8801652892561983</v>
          </cell>
          <cell r="V138">
            <v>-0.65306122448979598</v>
          </cell>
          <cell r="W138">
            <v>-0.29166666666666663</v>
          </cell>
          <cell r="X138">
            <v>-0.2570093457943925</v>
          </cell>
          <cell r="Y138">
            <v>-9.0090090090090058E-2</v>
          </cell>
          <cell r="Z138">
            <v>-9.7777777777777741E-2</v>
          </cell>
          <cell r="AA138">
            <v>-8.4821428571428603E-2</v>
          </cell>
          <cell r="AB138">
            <v>-0.19469026548672563</v>
          </cell>
        </row>
        <row r="139">
          <cell r="C139" t="str">
            <v>Mayotte</v>
          </cell>
          <cell r="D139">
            <v>-0.13978494623655913</v>
          </cell>
          <cell r="E139">
            <v>-0.28735632183908044</v>
          </cell>
          <cell r="F139">
            <v>-0.25287356321839083</v>
          </cell>
          <cell r="G139">
            <v>-0.3012048192771084</v>
          </cell>
          <cell r="H139">
            <v>-0.33734939759036142</v>
          </cell>
          <cell r="I139">
            <v>-0.33333333333333337</v>
          </cell>
          <cell r="J139">
            <v>-0.32183908045977017</v>
          </cell>
          <cell r="K139">
            <v>-0.16470588235294115</v>
          </cell>
          <cell r="L139">
            <v>-0.26136363636363635</v>
          </cell>
          <cell r="M139">
            <v>-0.14457831325301207</v>
          </cell>
          <cell r="N139">
            <v>-0.1785714285714286</v>
          </cell>
          <cell r="O139">
            <v>-0.14925373134328357</v>
          </cell>
          <cell r="P139">
            <v>-0.39506172839506171</v>
          </cell>
          <cell r="Q139">
            <v>-0.5714285714285714</v>
          </cell>
          <cell r="R139">
            <v>-0.625</v>
          </cell>
          <cell r="S139">
            <v>-0.60227272727272729</v>
          </cell>
          <cell r="T139">
            <v>-0.6404494382022472</v>
          </cell>
          <cell r="U139">
            <v>-0.64772727272727271</v>
          </cell>
          <cell r="V139">
            <v>-0.59756097560975607</v>
          </cell>
          <cell r="W139">
            <v>-0.38666666666666671</v>
          </cell>
          <cell r="X139">
            <v>-0.35526315789473684</v>
          </cell>
          <cell r="Y139">
            <v>-0.33333333333333337</v>
          </cell>
          <cell r="Z139">
            <v>-0.4337349397590361</v>
          </cell>
          <cell r="AA139">
            <v>-0.38095238095238093</v>
          </cell>
          <cell r="AB139">
            <v>-0.54166666666666674</v>
          </cell>
        </row>
        <row r="140">
          <cell r="C140" t="str">
            <v>Mexico</v>
          </cell>
          <cell r="D140">
            <v>3.6683613609698851E-2</v>
          </cell>
          <cell r="E140">
            <v>3.0848532910388471E-2</v>
          </cell>
          <cell r="F140">
            <v>3.8810965890978544E-2</v>
          </cell>
          <cell r="G140">
            <v>3.7536937944253612E-2</v>
          </cell>
          <cell r="H140">
            <v>3.051306564690881E-2</v>
          </cell>
          <cell r="I140">
            <v>3.0815661980780007E-2</v>
          </cell>
          <cell r="J140">
            <v>2.9797940089629771E-2</v>
          </cell>
          <cell r="K140">
            <v>3.2885958715956454E-2</v>
          </cell>
          <cell r="L140">
            <v>2.7629440445785969E-2</v>
          </cell>
          <cell r="M140">
            <v>-2.069917203311844E-3</v>
          </cell>
          <cell r="N140">
            <v>-8.4175084175086567E-4</v>
          </cell>
          <cell r="O140">
            <v>-0.12366918685388062</v>
          </cell>
          <cell r="P140">
            <v>-0.36504645626967669</v>
          </cell>
          <cell r="Q140">
            <v>-0.48526077097505671</v>
          </cell>
          <cell r="R140">
            <v>-0.64406130268199235</v>
          </cell>
          <cell r="S140">
            <v>-0.6843248913532145</v>
          </cell>
          <cell r="T140">
            <v>-0.71856146673979471</v>
          </cell>
          <cell r="U140">
            <v>-0.82308598351001172</v>
          </cell>
          <cell r="V140">
            <v>-0.79824630079073045</v>
          </cell>
          <cell r="W140">
            <v>-0.79498269896193774</v>
          </cell>
          <cell r="X140">
            <v>-0.79476908576814331</v>
          </cell>
          <cell r="Y140">
            <v>-0.28263239875389412</v>
          </cell>
          <cell r="Z140">
            <v>-0.26765428308259132</v>
          </cell>
          <cell r="AA140">
            <v>-0.15027590898782972</v>
          </cell>
          <cell r="AB140">
            <v>-0.23924670433145012</v>
          </cell>
        </row>
        <row r="141">
          <cell r="C141" t="str">
            <v>Micronesia Federated States of</v>
          </cell>
          <cell r="D141">
            <v>-9.4594594594594628E-2</v>
          </cell>
          <cell r="E141">
            <v>-9.4594594594594628E-2</v>
          </cell>
          <cell r="F141">
            <v>-9.4594594594594628E-2</v>
          </cell>
          <cell r="G141">
            <v>-9.4594594594594628E-2</v>
          </cell>
          <cell r="H141">
            <v>-9.4594594594594628E-2</v>
          </cell>
          <cell r="I141">
            <v>-9.4594594594594628E-2</v>
          </cell>
          <cell r="J141">
            <v>-0.14864864864864868</v>
          </cell>
          <cell r="K141">
            <v>-0.14864864864864868</v>
          </cell>
          <cell r="L141">
            <v>-0.14864864864864868</v>
          </cell>
          <cell r="M141">
            <v>-0.14864864864864868</v>
          </cell>
          <cell r="N141">
            <v>-0.14864864864864868</v>
          </cell>
          <cell r="O141">
            <v>-0.625</v>
          </cell>
          <cell r="P141">
            <v>-0.86567164179104483</v>
          </cell>
          <cell r="Q141">
            <v>-1</v>
          </cell>
          <cell r="R141">
            <v>-0.73134328358208955</v>
          </cell>
          <cell r="S141">
            <v>-1</v>
          </cell>
          <cell r="T141">
            <v>-1</v>
          </cell>
          <cell r="U141">
            <v>-0.95522388059701491</v>
          </cell>
          <cell r="V141">
            <v>-0.9850746268656716</v>
          </cell>
          <cell r="W141">
            <v>-0.70491803278688525</v>
          </cell>
          <cell r="X141">
            <v>-1</v>
          </cell>
          <cell r="Y141">
            <v>-0.94029850746268662</v>
          </cell>
          <cell r="Z141">
            <v>-0.9850746268656716</v>
          </cell>
          <cell r="AA141">
            <v>-0.73134328358208955</v>
          </cell>
          <cell r="AB141">
            <v>-0.9850746268656716</v>
          </cell>
        </row>
        <row r="142">
          <cell r="C142" t="str">
            <v>Moldova Republic of</v>
          </cell>
          <cell r="D142">
            <v>-6.3025210084033612E-2</v>
          </cell>
          <cell r="E142">
            <v>-0.1473214285714286</v>
          </cell>
          <cell r="F142">
            <v>-0.12440191387559807</v>
          </cell>
          <cell r="G142">
            <v>-0.11374407582938384</v>
          </cell>
          <cell r="H142">
            <v>-0.13953488372093026</v>
          </cell>
          <cell r="I142">
            <v>-8.2524271844660158E-2</v>
          </cell>
          <cell r="J142">
            <v>-0.10526315789473684</v>
          </cell>
          <cell r="K142">
            <v>-0.15639810426540279</v>
          </cell>
          <cell r="L142">
            <v>-9.1346153846153855E-2</v>
          </cell>
          <cell r="M142">
            <v>-0.10096153846153844</v>
          </cell>
          <cell r="N142">
            <v>-0.22169811320754718</v>
          </cell>
          <cell r="O142">
            <v>-0.6333333333333333</v>
          </cell>
          <cell r="P142">
            <v>-0.57990867579908678</v>
          </cell>
          <cell r="Q142">
            <v>-0.55760368663594462</v>
          </cell>
          <cell r="R142">
            <v>-0.68859649122807021</v>
          </cell>
          <cell r="S142">
            <v>-0.99583333333333335</v>
          </cell>
          <cell r="T142">
            <v>-0.88259109311740891</v>
          </cell>
          <cell r="U142">
            <v>-0.70750988142292492</v>
          </cell>
          <cell r="V142">
            <v>-0.54471544715447151</v>
          </cell>
          <cell r="W142">
            <v>-0.28346456692913391</v>
          </cell>
          <cell r="X142">
            <v>-0.27272727272727271</v>
          </cell>
          <cell r="Y142">
            <v>-0.1407942238267148</v>
          </cell>
          <cell r="Z142">
            <v>-0.10469314079422387</v>
          </cell>
          <cell r="AA142">
            <v>-9.5744680851063801E-2</v>
          </cell>
          <cell r="AB142">
            <v>-0.21785714285714286</v>
          </cell>
        </row>
        <row r="143">
          <cell r="C143" t="str">
            <v>Monaco</v>
          </cell>
          <cell r="D143">
            <v>-1.5625E-2</v>
          </cell>
          <cell r="E143">
            <v>7.575757575757569E-3</v>
          </cell>
          <cell r="F143">
            <v>7.575757575757569E-3</v>
          </cell>
          <cell r="G143">
            <v>7.575757575757569E-3</v>
          </cell>
          <cell r="H143">
            <v>-7.194244604316502E-3</v>
          </cell>
          <cell r="I143">
            <v>7.194244604316502E-3</v>
          </cell>
          <cell r="J143">
            <v>7.194244604316502E-3</v>
          </cell>
          <cell r="K143">
            <v>1.4084507042253502E-2</v>
          </cell>
          <cell r="L143">
            <v>1.379310344827589E-2</v>
          </cell>
          <cell r="M143">
            <v>1.379310344827589E-2</v>
          </cell>
          <cell r="N143">
            <v>1.379310344827589E-2</v>
          </cell>
          <cell r="O143">
            <v>2.3809523809523725E-2</v>
          </cell>
          <cell r="P143">
            <v>7.8616352201257955E-2</v>
          </cell>
          <cell r="Q143">
            <v>5.2147239263803602E-2</v>
          </cell>
          <cell r="R143">
            <v>5.2147239263803602E-2</v>
          </cell>
          <cell r="S143">
            <v>5.2147239263803602E-2</v>
          </cell>
          <cell r="T143">
            <v>5.2147239263803602E-2</v>
          </cell>
          <cell r="U143">
            <v>5.2147239263803602E-2</v>
          </cell>
          <cell r="V143">
            <v>5.2147239263803602E-2</v>
          </cell>
          <cell r="W143">
            <v>5.2147239263803602E-2</v>
          </cell>
          <cell r="X143">
            <v>5.2147239263803602E-2</v>
          </cell>
          <cell r="Y143">
            <v>5.2147239263803602E-2</v>
          </cell>
          <cell r="Z143">
            <v>5.2147239263803602E-2</v>
          </cell>
          <cell r="AA143">
            <v>5.2147239263803602E-2</v>
          </cell>
          <cell r="AB143">
            <v>-9.8159509202453976E-2</v>
          </cell>
        </row>
        <row r="144">
          <cell r="C144" t="str">
            <v>Mongolia</v>
          </cell>
          <cell r="D144">
            <v>-0.37419354838709673</v>
          </cell>
          <cell r="E144">
            <v>-0.37662337662337664</v>
          </cell>
          <cell r="F144">
            <v>-0.38775510204081631</v>
          </cell>
          <cell r="G144">
            <v>-0.36496350364963503</v>
          </cell>
          <cell r="H144">
            <v>-0.20192307692307687</v>
          </cell>
          <cell r="I144">
            <v>-0.21238938053097345</v>
          </cell>
          <cell r="J144">
            <v>-0.32539682539682535</v>
          </cell>
          <cell r="K144">
            <v>-0.37984496124031009</v>
          </cell>
          <cell r="L144">
            <v>-0.61313868613138678</v>
          </cell>
          <cell r="M144">
            <v>-0.49206349206349209</v>
          </cell>
          <cell r="N144">
            <v>-0.71317829457364335</v>
          </cell>
          <cell r="O144">
            <v>-0.45599999999999996</v>
          </cell>
          <cell r="P144">
            <v>-0.45299145299145294</v>
          </cell>
          <cell r="Q144">
            <v>-0.46666666666666667</v>
          </cell>
          <cell r="R144">
            <v>-0.41818181818181821</v>
          </cell>
          <cell r="S144">
            <v>-0.39805825242718451</v>
          </cell>
          <cell r="T144">
            <v>-0.24509803921568629</v>
          </cell>
          <cell r="U144">
            <v>-1</v>
          </cell>
          <cell r="V144">
            <v>-1</v>
          </cell>
          <cell r="W144">
            <v>-1</v>
          </cell>
          <cell r="X144">
            <v>-0.99009900990099009</v>
          </cell>
          <cell r="Y144">
            <v>-0.29000000000000004</v>
          </cell>
          <cell r="Z144">
            <v>-0.31775700934579443</v>
          </cell>
          <cell r="AA144">
            <v>-0.45522388059701491</v>
          </cell>
          <cell r="AB144">
            <v>-0.56296296296296289</v>
          </cell>
        </row>
        <row r="145">
          <cell r="C145" t="str">
            <v>Montenegro</v>
          </cell>
          <cell r="D145">
            <v>1.5151515151515138E-2</v>
          </cell>
          <cell r="E145">
            <v>2.4590163934426146E-2</v>
          </cell>
          <cell r="F145">
            <v>2.4793388429751984E-2</v>
          </cell>
          <cell r="G145">
            <v>8.2644628099173278E-3</v>
          </cell>
          <cell r="H145">
            <v>8.4033613445377853E-3</v>
          </cell>
          <cell r="I145">
            <v>3.3333333333333437E-2</v>
          </cell>
          <cell r="J145">
            <v>4.9586776859504189E-2</v>
          </cell>
          <cell r="K145">
            <v>5.7851239669421517E-2</v>
          </cell>
          <cell r="L145">
            <v>5.7851239669421517E-2</v>
          </cell>
          <cell r="M145">
            <v>-3.3057851239669422E-2</v>
          </cell>
          <cell r="N145">
            <v>-6.6115702479338845E-2</v>
          </cell>
          <cell r="O145">
            <v>-0.8203125</v>
          </cell>
          <cell r="P145">
            <v>-0.90683229813664601</v>
          </cell>
          <cell r="Q145">
            <v>-0.92073170731707321</v>
          </cell>
          <cell r="R145">
            <v>-0.74301675977653625</v>
          </cell>
          <cell r="S145">
            <v>-0.76190476190476186</v>
          </cell>
          <cell r="T145">
            <v>-0.75</v>
          </cell>
          <cell r="U145">
            <v>-0.85185185185185186</v>
          </cell>
          <cell r="V145">
            <v>-0.62790697674418605</v>
          </cell>
          <cell r="W145">
            <v>-0.37004405286343611</v>
          </cell>
          <cell r="X145">
            <v>-0.35483870967741937</v>
          </cell>
          <cell r="Y145">
            <v>-0.10830324909747291</v>
          </cell>
          <cell r="Z145">
            <v>-6.8259385665528916E-3</v>
          </cell>
          <cell r="AA145">
            <v>9.8684210526316374E-3</v>
          </cell>
          <cell r="AB145">
            <v>-0.11003236245954695</v>
          </cell>
        </row>
        <row r="146">
          <cell r="C146" t="str">
            <v>Montserrat, Leeward Islands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9.5238095238095344E-2</v>
          </cell>
          <cell r="L146">
            <v>-0.125</v>
          </cell>
          <cell r="M146">
            <v>0.14285714285714279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-0.1428571428571429</v>
          </cell>
        </row>
        <row r="147">
          <cell r="C147" t="str">
            <v>Morocco</v>
          </cell>
          <cell r="D147">
            <v>0.10115172759138713</v>
          </cell>
          <cell r="E147">
            <v>3.2642487046632196E-2</v>
          </cell>
          <cell r="F147">
            <v>4.3710021321961667E-2</v>
          </cell>
          <cell r="G147">
            <v>4.2993630573248343E-2</v>
          </cell>
          <cell r="H147">
            <v>4.7109207708779355E-2</v>
          </cell>
          <cell r="I147">
            <v>6.1408152461619903E-2</v>
          </cell>
          <cell r="J147">
            <v>7.012035583464149E-2</v>
          </cell>
          <cell r="K147">
            <v>4.9019607843137303E-2</v>
          </cell>
          <cell r="L147">
            <v>5.6468172484599677E-2</v>
          </cell>
          <cell r="M147">
            <v>4.8336798336798381E-2</v>
          </cell>
          <cell r="N147">
            <v>-0.10303347280334729</v>
          </cell>
          <cell r="O147">
            <v>-0.75718685831622179</v>
          </cell>
          <cell r="P147">
            <v>-0.83276450511945388</v>
          </cell>
          <cell r="Q147">
            <v>-0.84213029006181639</v>
          </cell>
          <cell r="R147">
            <v>-0.84626103111936835</v>
          </cell>
          <cell r="S147">
            <v>-0.77503493246390309</v>
          </cell>
          <cell r="T147">
            <v>-0.77629765732659628</v>
          </cell>
          <cell r="U147">
            <v>-0.72555948174322737</v>
          </cell>
          <cell r="V147">
            <v>-0.70642201834862384</v>
          </cell>
          <cell r="W147">
            <v>-0.61131386861313874</v>
          </cell>
          <cell r="X147">
            <v>-0.59098888238736103</v>
          </cell>
          <cell r="Y147">
            <v>3.1762295081967151E-2</v>
          </cell>
          <cell r="Z147">
            <v>-7.575757575757569E-3</v>
          </cell>
          <cell r="AA147">
            <v>3.2879286049789513E-3</v>
          </cell>
          <cell r="AB147">
            <v>-0.15500685871056241</v>
          </cell>
        </row>
        <row r="148">
          <cell r="C148" t="str">
            <v>Mozambique</v>
          </cell>
          <cell r="D148">
            <v>-3.0575539568345356E-2</v>
          </cell>
          <cell r="E148">
            <v>3.488372093023262E-2</v>
          </cell>
          <cell r="F148">
            <v>-1.9267822736031004E-3</v>
          </cell>
          <cell r="G148">
            <v>5.6390977443609991E-3</v>
          </cell>
          <cell r="H148">
            <v>-5.9964726631393295E-2</v>
          </cell>
          <cell r="I148">
            <v>-2.3679417122040025E-2</v>
          </cell>
          <cell r="J148">
            <v>-1.9855595667869985E-2</v>
          </cell>
          <cell r="K148">
            <v>-6.3268892794376086E-2</v>
          </cell>
          <cell r="L148">
            <v>-8.362369337979092E-2</v>
          </cell>
          <cell r="M148">
            <v>-0.10608695652173916</v>
          </cell>
          <cell r="N148">
            <v>-0.16526138279932545</v>
          </cell>
          <cell r="O148">
            <v>-0.27467105263157898</v>
          </cell>
          <cell r="P148">
            <v>-0.52864157119476274</v>
          </cell>
          <cell r="Q148">
            <v>-0.57560975609756104</v>
          </cell>
          <cell r="R148">
            <v>-0.60890302066772661</v>
          </cell>
          <cell r="S148">
            <v>-0.7720125786163522</v>
          </cell>
          <cell r="T148">
            <v>-0.79559748427672949</v>
          </cell>
          <cell r="U148">
            <v>-0.77535101404056161</v>
          </cell>
          <cell r="V148">
            <v>-0.75316455696202533</v>
          </cell>
          <cell r="W148">
            <v>-0.73813420621931258</v>
          </cell>
          <cell r="X148">
            <v>-0.66456692913385829</v>
          </cell>
          <cell r="Y148">
            <v>-7.8559738134206247E-2</v>
          </cell>
          <cell r="Z148">
            <v>-5.3601340033500811E-2</v>
          </cell>
          <cell r="AA148">
            <v>-5.3511705685618693E-2</v>
          </cell>
          <cell r="AB148">
            <v>-0.18855218855218858</v>
          </cell>
        </row>
        <row r="149">
          <cell r="C149" t="str">
            <v>Myanmar</v>
          </cell>
          <cell r="D149">
            <v>6.3743551952837096E-2</v>
          </cell>
          <cell r="E149">
            <v>6.6715542521994076E-2</v>
          </cell>
          <cell r="F149">
            <v>4.4208987943003208E-2</v>
          </cell>
          <cell r="G149">
            <v>4.2645464401879218E-2</v>
          </cell>
          <cell r="H149">
            <v>1.8586005830903751E-2</v>
          </cell>
          <cell r="I149">
            <v>-1.3367052023121384E-2</v>
          </cell>
          <cell r="J149">
            <v>-1.9985465116279078E-2</v>
          </cell>
          <cell r="K149">
            <v>-6.5934065934065922E-2</v>
          </cell>
          <cell r="L149">
            <v>-5.7060310581437346E-2</v>
          </cell>
          <cell r="M149">
            <v>-8.2977207977207978E-2</v>
          </cell>
          <cell r="N149">
            <v>-0.129746835443038</v>
          </cell>
          <cell r="O149">
            <v>-0.1513745091038915</v>
          </cell>
          <cell r="P149">
            <v>-0.13400335008375208</v>
          </cell>
          <cell r="Q149">
            <v>-0.25397489539748952</v>
          </cell>
          <cell r="R149">
            <v>-0.38438693254136613</v>
          </cell>
          <cell r="S149">
            <v>-0.21480530594779634</v>
          </cell>
          <cell r="T149">
            <v>-0.39496221662468511</v>
          </cell>
          <cell r="U149">
            <v>-0.80043033889187731</v>
          </cell>
          <cell r="V149">
            <v>-0.79334406870638752</v>
          </cell>
          <cell r="W149">
            <v>-0.73735309146653039</v>
          </cell>
          <cell r="X149">
            <v>-0.73383838383838385</v>
          </cell>
          <cell r="Y149">
            <v>-0.3498920086393088</v>
          </cell>
          <cell r="Z149">
            <v>-0.33843630399125202</v>
          </cell>
          <cell r="AA149">
            <v>-0.33479212253829327</v>
          </cell>
          <cell r="AB149">
            <v>-0.43054024255788315</v>
          </cell>
        </row>
        <row r="150">
          <cell r="C150" t="str">
            <v>Namibia</v>
          </cell>
          <cell r="D150">
            <v>-0.38345864661654139</v>
          </cell>
          <cell r="E150">
            <v>-0.39205955334987597</v>
          </cell>
          <cell r="F150">
            <v>-0.39552238805970152</v>
          </cell>
          <cell r="G150">
            <v>-0.40099009900990101</v>
          </cell>
          <cell r="H150">
            <v>-0.40099009900990101</v>
          </cell>
          <cell r="I150">
            <v>-0.42079207920792083</v>
          </cell>
          <cell r="J150">
            <v>-0.39598997493734334</v>
          </cell>
          <cell r="K150">
            <v>-0.39054726368159209</v>
          </cell>
          <cell r="L150">
            <v>-0.3721518987341772</v>
          </cell>
          <cell r="M150">
            <v>-0.38154613466334164</v>
          </cell>
          <cell r="N150">
            <v>-0.38805970149253732</v>
          </cell>
          <cell r="O150">
            <v>-0.52392947103274556</v>
          </cell>
          <cell r="P150">
            <v>-0.89445910290237463</v>
          </cell>
          <cell r="Q150">
            <v>-0.90957446808510634</v>
          </cell>
          <cell r="R150">
            <v>-0.88031914893617025</v>
          </cell>
          <cell r="S150">
            <v>-0.84656084656084651</v>
          </cell>
          <cell r="T150">
            <v>-0.84196185286103542</v>
          </cell>
          <cell r="U150">
            <v>-0.6202185792349727</v>
          </cell>
          <cell r="V150">
            <v>-0.51092896174863389</v>
          </cell>
          <cell r="W150">
            <v>-0.4642857142857143</v>
          </cell>
          <cell r="X150">
            <v>-0.47010869565217395</v>
          </cell>
          <cell r="Y150">
            <v>-0.32840236686390534</v>
          </cell>
          <cell r="Z150">
            <v>-0.25714285714285712</v>
          </cell>
          <cell r="AA150">
            <v>-0.24528301886792447</v>
          </cell>
          <cell r="AB150">
            <v>-0.3571428571428571</v>
          </cell>
        </row>
        <row r="151">
          <cell r="C151" t="str">
            <v>Nauru</v>
          </cell>
          <cell r="D151">
            <v>0.41666666666666674</v>
          </cell>
          <cell r="E151">
            <v>0.30769230769230771</v>
          </cell>
          <cell r="F151">
            <v>7.6923076923076872E-2</v>
          </cell>
          <cell r="G151">
            <v>0</v>
          </cell>
          <cell r="H151">
            <v>-0.15384615384615385</v>
          </cell>
          <cell r="I151">
            <v>0</v>
          </cell>
          <cell r="J151">
            <v>-0.23076923076923073</v>
          </cell>
          <cell r="K151">
            <v>0</v>
          </cell>
          <cell r="L151">
            <v>0</v>
          </cell>
          <cell r="M151">
            <v>-7.6923076923076872E-2</v>
          </cell>
          <cell r="N151">
            <v>-0.38461538461538458</v>
          </cell>
          <cell r="O151">
            <v>-0.76923076923076916</v>
          </cell>
          <cell r="P151">
            <v>-0.92307692307692313</v>
          </cell>
          <cell r="Q151">
            <v>-1</v>
          </cell>
          <cell r="R151">
            <v>-0.9</v>
          </cell>
          <cell r="S151">
            <v>-1</v>
          </cell>
          <cell r="T151">
            <v>-0.90909090909090906</v>
          </cell>
          <cell r="U151">
            <v>-1</v>
          </cell>
          <cell r="V151">
            <v>-0.88888888888888884</v>
          </cell>
          <cell r="W151">
            <v>-1</v>
          </cell>
          <cell r="X151">
            <v>-0.875</v>
          </cell>
          <cell r="Y151">
            <v>-1</v>
          </cell>
          <cell r="Z151">
            <v>-0.9</v>
          </cell>
          <cell r="AA151">
            <v>-1</v>
          </cell>
          <cell r="AB151">
            <v>-0.90909090909090906</v>
          </cell>
        </row>
        <row r="152">
          <cell r="C152" t="str">
            <v>Nepal</v>
          </cell>
          <cell r="D152">
            <v>0.9907407407407407</v>
          </cell>
          <cell r="E152">
            <v>0.15690235690235688</v>
          </cell>
          <cell r="F152">
            <v>0.16745442268737332</v>
          </cell>
          <cell r="G152">
            <v>0.17506811989100823</v>
          </cell>
          <cell r="H152">
            <v>0.18169304886441839</v>
          </cell>
          <cell r="I152">
            <v>0.19801980198019797</v>
          </cell>
          <cell r="J152">
            <v>0.19533527696792996</v>
          </cell>
          <cell r="K152">
            <v>6.6709844559585507E-2</v>
          </cell>
          <cell r="L152">
            <v>9.6949152542372907E-2</v>
          </cell>
          <cell r="M152">
            <v>3.6059240180296159E-2</v>
          </cell>
          <cell r="N152">
            <v>2.9156327543424343E-2</v>
          </cell>
          <cell r="O152">
            <v>-2.0522388059701524E-2</v>
          </cell>
          <cell r="P152">
            <v>-1.5873015873015928E-2</v>
          </cell>
          <cell r="Q152">
            <v>-0.13511830635118305</v>
          </cell>
          <cell r="R152">
            <v>-8.8615782664941745E-2</v>
          </cell>
          <cell r="S152">
            <v>-9.9479843953185987E-2</v>
          </cell>
          <cell r="T152">
            <v>-6.6841415465268672E-2</v>
          </cell>
          <cell r="U152">
            <v>-0.13715710723192021</v>
          </cell>
          <cell r="V152">
            <v>-0.1135235732009926</v>
          </cell>
          <cell r="W152">
            <v>-6.3698206555349413E-2</v>
          </cell>
          <cell r="X152">
            <v>-1.6741790083708907E-2</v>
          </cell>
          <cell r="Y152">
            <v>8.0459770114942541E-2</v>
          </cell>
          <cell r="Z152">
            <v>4.5275590551181022E-2</v>
          </cell>
          <cell r="AA152">
            <v>2.3778920308483276E-2</v>
          </cell>
          <cell r="AB152">
            <v>-8.5771276595744683E-2</v>
          </cell>
        </row>
        <row r="153">
          <cell r="C153" t="str">
            <v>Netherlands</v>
          </cell>
          <cell r="D153">
            <v>2.1874329830581241E-2</v>
          </cell>
          <cell r="E153">
            <v>8.3223828296101754E-3</v>
          </cell>
          <cell r="F153">
            <v>7.6435903035596553E-3</v>
          </cell>
          <cell r="G153">
            <v>9.765625E-3</v>
          </cell>
          <cell r="H153">
            <v>1.0564898663216971E-2</v>
          </cell>
          <cell r="I153">
            <v>1.8730489073881529E-3</v>
          </cell>
          <cell r="J153">
            <v>3.4426893479140297E-3</v>
          </cell>
          <cell r="K153">
            <v>-8.6120568796315133E-3</v>
          </cell>
          <cell r="L153">
            <v>-1.3766959297685566E-2</v>
          </cell>
          <cell r="M153">
            <v>-4.2557442557442537E-2</v>
          </cell>
          <cell r="N153">
            <v>-8.6131095123900825E-2</v>
          </cell>
          <cell r="O153">
            <v>-0.3463987266215679</v>
          </cell>
          <cell r="P153">
            <v>-0.81617647058823528</v>
          </cell>
          <cell r="Q153">
            <v>-0.87793868722964075</v>
          </cell>
          <cell r="R153">
            <v>-0.92821553792212586</v>
          </cell>
          <cell r="S153">
            <v>-0.93176043557168786</v>
          </cell>
          <cell r="T153">
            <v>-0.92886653493802762</v>
          </cell>
          <cell r="U153">
            <v>-0.90540057224606585</v>
          </cell>
          <cell r="V153">
            <v>-0.87643266475644699</v>
          </cell>
          <cell r="W153">
            <v>-0.78104925053533192</v>
          </cell>
          <cell r="X153">
            <v>-0.69059982094897043</v>
          </cell>
          <cell r="Y153">
            <v>-0.49151643690349944</v>
          </cell>
          <cell r="Z153">
            <v>-0.48747795414462081</v>
          </cell>
          <cell r="AA153">
            <v>-0.48499293785310738</v>
          </cell>
          <cell r="AB153">
            <v>-0.55674137317680539</v>
          </cell>
        </row>
        <row r="154">
          <cell r="C154" t="str">
            <v>New Caledonia</v>
          </cell>
          <cell r="D154">
            <v>9.9337748344370258E-3</v>
          </cell>
          <cell r="E154">
            <v>6.6666666666665986E-3</v>
          </cell>
          <cell r="F154">
            <v>1.0033444816053505E-2</v>
          </cell>
          <cell r="G154">
            <v>3.3333333333334103E-3</v>
          </cell>
          <cell r="H154">
            <v>1.3468013468013407E-2</v>
          </cell>
          <cell r="I154">
            <v>1.6949152542372836E-2</v>
          </cell>
          <cell r="J154">
            <v>1.0273972602739656E-2</v>
          </cell>
          <cell r="K154">
            <v>1.3745704467353903E-2</v>
          </cell>
          <cell r="L154">
            <v>6.8259385665530026E-3</v>
          </cell>
          <cell r="M154">
            <v>2.0618556701030855E-2</v>
          </cell>
          <cell r="N154">
            <v>1.0204081632652962E-2</v>
          </cell>
          <cell r="O154">
            <v>-3.424657534246589E-3</v>
          </cell>
          <cell r="P154">
            <v>-7.4889867841409719E-2</v>
          </cell>
          <cell r="Q154">
            <v>-0.10869565217391308</v>
          </cell>
          <cell r="R154">
            <v>-0.10964912280701755</v>
          </cell>
          <cell r="S154">
            <v>-0.11688311688311692</v>
          </cell>
          <cell r="T154">
            <v>-0.10132158590308371</v>
          </cell>
          <cell r="U154">
            <v>-0.10176991150442483</v>
          </cell>
          <cell r="V154">
            <v>-8.9686098654708557E-2</v>
          </cell>
          <cell r="W154">
            <v>-0.33442622950819667</v>
          </cell>
          <cell r="X154">
            <v>-0.36163522012578619</v>
          </cell>
          <cell r="Y154">
            <v>-0.26332288401253923</v>
          </cell>
          <cell r="Z154">
            <v>-0.26875000000000004</v>
          </cell>
          <cell r="AA154">
            <v>-0.26249999999999996</v>
          </cell>
          <cell r="AB154">
            <v>-0.38749999999999996</v>
          </cell>
        </row>
        <row r="155">
          <cell r="C155" t="str">
            <v>New Zealand</v>
          </cell>
          <cell r="D155">
            <v>-0.10242168407020658</v>
          </cell>
          <cell r="E155">
            <v>-8.5068675232609636E-2</v>
          </cell>
          <cell r="F155">
            <v>-5.3467897788275764E-2</v>
          </cell>
          <cell r="G155">
            <v>-6.0147213459516347E-2</v>
          </cell>
          <cell r="H155">
            <v>-6.4666531522400206E-2</v>
          </cell>
          <cell r="I155">
            <v>-6.3892723328731971E-2</v>
          </cell>
          <cell r="J155">
            <v>-6.5122723673792571E-2</v>
          </cell>
          <cell r="K155">
            <v>-8.1484390339681911E-2</v>
          </cell>
          <cell r="L155">
            <v>-6.6465863453815222E-2</v>
          </cell>
          <cell r="M155">
            <v>-7.0533548908649935E-2</v>
          </cell>
          <cell r="N155">
            <v>-8.6956521739130488E-2</v>
          </cell>
          <cell r="O155">
            <v>-0.17227401702472633</v>
          </cell>
          <cell r="P155">
            <v>-0.58785475792988318</v>
          </cell>
          <cell r="Q155">
            <v>-0.87489728841413306</v>
          </cell>
          <cell r="R155">
            <v>-0.88053553038105048</v>
          </cell>
          <cell r="S155">
            <v>-0.88044806517311613</v>
          </cell>
          <cell r="T155">
            <v>-0.87094668117519047</v>
          </cell>
          <cell r="U155">
            <v>-0.94188110026619343</v>
          </cell>
          <cell r="V155">
            <v>-0.94295227524972258</v>
          </cell>
          <cell r="W155">
            <v>-0.30568561872909694</v>
          </cell>
          <cell r="X155">
            <v>-0.31537773804202052</v>
          </cell>
          <cell r="Y155">
            <v>-0.21187375855219603</v>
          </cell>
          <cell r="Z155">
            <v>-0.20093562040543556</v>
          </cell>
          <cell r="AA155">
            <v>-0.19048672566371683</v>
          </cell>
          <cell r="AB155">
            <v>-0.3009836065573771</v>
          </cell>
        </row>
        <row r="156">
          <cell r="C156" t="str">
            <v>Nicaragua</v>
          </cell>
          <cell r="D156">
            <v>9.2307692307692202E-2</v>
          </cell>
          <cell r="E156">
            <v>9.2307692307692202E-2</v>
          </cell>
          <cell r="F156">
            <v>9.6153846153846256E-2</v>
          </cell>
          <cell r="G156">
            <v>7.2519083969465603E-2</v>
          </cell>
          <cell r="H156">
            <v>5.555555555555558E-2</v>
          </cell>
          <cell r="I156">
            <v>6.2962962962962887E-2</v>
          </cell>
          <cell r="J156">
            <v>4.7794117647058876E-2</v>
          </cell>
          <cell r="K156">
            <v>7.0895522388059629E-2</v>
          </cell>
          <cell r="L156">
            <v>7.0631970260222943E-2</v>
          </cell>
          <cell r="M156">
            <v>5.555555555555558E-2</v>
          </cell>
          <cell r="N156">
            <v>5.2434456928838857E-2</v>
          </cell>
          <cell r="O156">
            <v>-1.1278195488721776E-2</v>
          </cell>
          <cell r="P156">
            <v>-0.16849816849816845</v>
          </cell>
          <cell r="Q156">
            <v>-0.32222222222222219</v>
          </cell>
          <cell r="R156">
            <v>-0.33828996282527879</v>
          </cell>
          <cell r="S156">
            <v>-0.37407407407407411</v>
          </cell>
          <cell r="T156">
            <v>-0.35164835164835162</v>
          </cell>
          <cell r="U156">
            <v>-0.64727272727272722</v>
          </cell>
          <cell r="V156">
            <v>-0.64468864468864462</v>
          </cell>
          <cell r="W156">
            <v>-0.61678832116788329</v>
          </cell>
          <cell r="X156">
            <v>-0.61538461538461542</v>
          </cell>
          <cell r="Y156">
            <v>-0.62408759124087587</v>
          </cell>
          <cell r="Z156">
            <v>-0.58974358974358976</v>
          </cell>
          <cell r="AA156">
            <v>-0.59272727272727277</v>
          </cell>
          <cell r="AB156">
            <v>-0.64604810996563566</v>
          </cell>
        </row>
        <row r="157">
          <cell r="C157" t="str">
            <v>Niger</v>
          </cell>
          <cell r="D157">
            <v>0.14814814814814814</v>
          </cell>
          <cell r="E157">
            <v>2.3809523809523725E-2</v>
          </cell>
          <cell r="F157">
            <v>2.4999999999999911E-2</v>
          </cell>
          <cell r="G157">
            <v>0.125</v>
          </cell>
          <cell r="H157">
            <v>0.18181818181818188</v>
          </cell>
          <cell r="I157">
            <v>0.13580246913580241</v>
          </cell>
          <cell r="J157">
            <v>0.18987341772151889</v>
          </cell>
          <cell r="K157">
            <v>0.16455696202531644</v>
          </cell>
          <cell r="L157">
            <v>0.11904761904761907</v>
          </cell>
          <cell r="M157">
            <v>5.8139534883721034E-2</v>
          </cell>
          <cell r="N157">
            <v>1.1764705882352899E-2</v>
          </cell>
          <cell r="O157">
            <v>-0.45569620253164556</v>
          </cell>
          <cell r="P157">
            <v>-0.58139534883720922</v>
          </cell>
          <cell r="Q157">
            <v>-0.54444444444444451</v>
          </cell>
          <cell r="R157">
            <v>-0.61458333333333326</v>
          </cell>
          <cell r="S157">
            <v>-0.56521739130434789</v>
          </cell>
          <cell r="T157">
            <v>-0.55208333333333326</v>
          </cell>
          <cell r="U157">
            <v>-0.73913043478260865</v>
          </cell>
          <cell r="V157">
            <v>-0.61458333333333326</v>
          </cell>
          <cell r="W157">
            <v>-0.47252747252747251</v>
          </cell>
          <cell r="X157">
            <v>-0.40659340659340659</v>
          </cell>
          <cell r="Y157">
            <v>-0.34065934065934067</v>
          </cell>
          <cell r="Z157">
            <v>-0.32967032967032972</v>
          </cell>
          <cell r="AA157">
            <v>-0.21978021978021978</v>
          </cell>
          <cell r="AB157">
            <v>-0.33333333333333337</v>
          </cell>
        </row>
        <row r="158">
          <cell r="C158" t="str">
            <v>Nigeria</v>
          </cell>
          <cell r="D158">
            <v>0.27490542244640603</v>
          </cell>
          <cell r="E158">
            <v>0.26114649681528657</v>
          </cell>
          <cell r="F158">
            <v>0.25998731769181993</v>
          </cell>
          <cell r="G158">
            <v>0.2579617834394905</v>
          </cell>
          <cell r="H158">
            <v>0.23267641449459631</v>
          </cell>
          <cell r="I158">
            <v>0.34870719776380144</v>
          </cell>
          <cell r="J158">
            <v>0.29871881321645311</v>
          </cell>
          <cell r="K158">
            <v>0.34732566012186861</v>
          </cell>
          <cell r="L158">
            <v>0.41051136363636354</v>
          </cell>
          <cell r="M158">
            <v>0.45435092724679027</v>
          </cell>
          <cell r="N158">
            <v>0.45773638968481367</v>
          </cell>
          <cell r="O158">
            <v>0.44685802948021713</v>
          </cell>
          <cell r="P158">
            <v>1.1045655375552244E-2</v>
          </cell>
          <cell r="Q158">
            <v>9.5343680709534473E-2</v>
          </cell>
          <cell r="R158">
            <v>-2.9657794676806071E-2</v>
          </cell>
          <cell r="S158">
            <v>-0.24544072948328266</v>
          </cell>
          <cell r="T158">
            <v>-0.22047244094488194</v>
          </cell>
          <cell r="U158">
            <v>-0.21727972626176217</v>
          </cell>
          <cell r="V158">
            <v>-0.10497737556561082</v>
          </cell>
          <cell r="W158">
            <v>-0.10586176727909014</v>
          </cell>
          <cell r="X158">
            <v>-6.4573991031390165E-2</v>
          </cell>
          <cell r="Y158">
            <v>-3.383793410507574E-2</v>
          </cell>
          <cell r="Z158">
            <v>-3.2888888888888856E-2</v>
          </cell>
          <cell r="AA158">
            <v>-0.15765422696115761</v>
          </cell>
          <cell r="AB158">
            <v>-0.36842105263157898</v>
          </cell>
        </row>
        <row r="159">
          <cell r="C159" t="str">
            <v>Niue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-0.5</v>
          </cell>
          <cell r="I159">
            <v>0</v>
          </cell>
          <cell r="J159">
            <v>0</v>
          </cell>
          <cell r="K159">
            <v>0</v>
          </cell>
          <cell r="L159">
            <v>-0.5</v>
          </cell>
          <cell r="M159">
            <v>0</v>
          </cell>
          <cell r="N159">
            <v>-0.5</v>
          </cell>
          <cell r="O159">
            <v>-0.5</v>
          </cell>
          <cell r="P159">
            <v>-1</v>
          </cell>
          <cell r="Q159">
            <v>-0.5</v>
          </cell>
          <cell r="R159">
            <v>-0.5</v>
          </cell>
          <cell r="S159">
            <v>-0.5</v>
          </cell>
          <cell r="T159">
            <v>-0.5</v>
          </cell>
          <cell r="U159">
            <v>-0.5</v>
          </cell>
          <cell r="V159">
            <v>-0.5</v>
          </cell>
          <cell r="W159">
            <v>-0.5</v>
          </cell>
          <cell r="X159">
            <v>-0.5</v>
          </cell>
          <cell r="Y159">
            <v>-0.5</v>
          </cell>
          <cell r="Z159">
            <v>-0.5</v>
          </cell>
          <cell r="AA159">
            <v>-0.5</v>
          </cell>
          <cell r="AB159">
            <v>-0.5</v>
          </cell>
        </row>
        <row r="160">
          <cell r="C160" t="str">
            <v>Norfolk Island</v>
          </cell>
          <cell r="D160">
            <v>0.19999999999999996</v>
          </cell>
          <cell r="E160">
            <v>0.19999999999999996</v>
          </cell>
          <cell r="F160">
            <v>0.19999999999999996</v>
          </cell>
          <cell r="G160">
            <v>0.19999999999999996</v>
          </cell>
          <cell r="H160">
            <v>0.19999999999999996</v>
          </cell>
          <cell r="I160">
            <v>0.19999999999999996</v>
          </cell>
          <cell r="J160">
            <v>0.19999999999999996</v>
          </cell>
          <cell r="K160">
            <v>0.19999999999999996</v>
          </cell>
          <cell r="L160">
            <v>0.19999999999999996</v>
          </cell>
          <cell r="M160">
            <v>0.19999999999999996</v>
          </cell>
          <cell r="N160">
            <v>0.19999999999999996</v>
          </cell>
          <cell r="O160">
            <v>0.19999999999999996</v>
          </cell>
          <cell r="P160">
            <v>-0.4</v>
          </cell>
          <cell r="Q160">
            <v>-0.4</v>
          </cell>
          <cell r="R160">
            <v>-0.4</v>
          </cell>
          <cell r="S160">
            <v>-0.4</v>
          </cell>
          <cell r="T160">
            <v>-0.25</v>
          </cell>
          <cell r="U160">
            <v>-0.25</v>
          </cell>
          <cell r="V160">
            <v>-0.4</v>
          </cell>
          <cell r="W160">
            <v>-0.4</v>
          </cell>
          <cell r="X160">
            <v>-0.25</v>
          </cell>
          <cell r="Y160">
            <v>-0.25</v>
          </cell>
          <cell r="Z160">
            <v>-0.25</v>
          </cell>
          <cell r="AA160">
            <v>-0.25</v>
          </cell>
          <cell r="AB160">
            <v>-0.25</v>
          </cell>
        </row>
        <row r="161">
          <cell r="C161" t="str">
            <v>Northern Mariana Islands</v>
          </cell>
          <cell r="D161">
            <v>0.64150943396226423</v>
          </cell>
          <cell r="E161">
            <v>0.64150943396226423</v>
          </cell>
          <cell r="F161">
            <v>0.49152542372881358</v>
          </cell>
          <cell r="G161">
            <v>0.48333333333333339</v>
          </cell>
          <cell r="H161">
            <v>0.16666666666666674</v>
          </cell>
          <cell r="I161">
            <v>0.10000000000000009</v>
          </cell>
          <cell r="J161">
            <v>6.6666666666666652E-2</v>
          </cell>
          <cell r="K161">
            <v>3.3333333333333437E-2</v>
          </cell>
          <cell r="L161">
            <v>-0.3035714285714286</v>
          </cell>
          <cell r="M161">
            <v>-0.35087719298245612</v>
          </cell>
          <cell r="N161">
            <v>-0.4107142857142857</v>
          </cell>
          <cell r="O161">
            <v>-0.52631578947368429</v>
          </cell>
          <cell r="P161">
            <v>-0.72131147540983609</v>
          </cell>
          <cell r="Q161">
            <v>-0.77777777777777779</v>
          </cell>
          <cell r="R161">
            <v>-0.77777777777777779</v>
          </cell>
          <cell r="S161">
            <v>-0.77777777777777779</v>
          </cell>
          <cell r="T161">
            <v>-0.53968253968253976</v>
          </cell>
          <cell r="U161">
            <v>-0.5</v>
          </cell>
          <cell r="V161">
            <v>-0.50793650793650791</v>
          </cell>
          <cell r="W161">
            <v>-0.50793650793650791</v>
          </cell>
          <cell r="X161">
            <v>-0.50793650793650791</v>
          </cell>
          <cell r="Y161">
            <v>-0.41791044776119401</v>
          </cell>
          <cell r="Z161">
            <v>-0.32835820895522383</v>
          </cell>
          <cell r="AA161">
            <v>-0.32835820895522383</v>
          </cell>
          <cell r="AB161">
            <v>-0.41791044776119401</v>
          </cell>
        </row>
        <row r="162">
          <cell r="C162" t="str">
            <v>Norway</v>
          </cell>
          <cell r="D162">
            <v>-1.4108352144469483E-2</v>
          </cell>
          <cell r="E162">
            <v>-9.6328354041602671E-3</v>
          </cell>
          <cell r="F162">
            <v>1.6583747927032544E-3</v>
          </cell>
          <cell r="G162">
            <v>5.0894085281980583E-3</v>
          </cell>
          <cell r="H162">
            <v>-2.8279019660651938E-3</v>
          </cell>
          <cell r="I162">
            <v>-9.8827249967057273E-3</v>
          </cell>
          <cell r="J162">
            <v>-2.0196580045778956E-2</v>
          </cell>
          <cell r="K162">
            <v>-3.4861893268972599E-3</v>
          </cell>
          <cell r="L162">
            <v>-6.3669438669439193E-3</v>
          </cell>
          <cell r="M162">
            <v>-5.3040103492885127E-3</v>
          </cell>
          <cell r="N162">
            <v>-3.1039834454216209E-2</v>
          </cell>
          <cell r="O162">
            <v>-0.36246250163036386</v>
          </cell>
          <cell r="P162">
            <v>-0.4320253164556962</v>
          </cell>
          <cell r="Q162">
            <v>-0.57762469702768215</v>
          </cell>
          <cell r="R162">
            <v>-0.41473765432098764</v>
          </cell>
          <cell r="S162">
            <v>-0.62801362683438156</v>
          </cell>
          <cell r="T162">
            <v>-0.63633887224189589</v>
          </cell>
          <cell r="U162">
            <v>-0.65653040877367896</v>
          </cell>
          <cell r="V162">
            <v>-0.43565828602324952</v>
          </cell>
          <cell r="W162">
            <v>-0.50305143853530954</v>
          </cell>
          <cell r="X162">
            <v>-0.36621283689913864</v>
          </cell>
          <cell r="Y162">
            <v>-0.23903312444046554</v>
          </cell>
          <cell r="Z162">
            <v>-0.2039678423236515</v>
          </cell>
          <cell r="AA162">
            <v>-0.15161290322580645</v>
          </cell>
          <cell r="AB162">
            <v>-0.21667824878387765</v>
          </cell>
        </row>
        <row r="163">
          <cell r="C163" t="str">
            <v>Oman</v>
          </cell>
          <cell r="D163">
            <v>1.074443591711427E-2</v>
          </cell>
          <cell r="E163">
            <v>-9.1393754760091817E-3</v>
          </cell>
          <cell r="F163">
            <v>-2.2848438690022843E-2</v>
          </cell>
          <cell r="G163">
            <v>-1.9786910197869156E-2</v>
          </cell>
          <cell r="H163">
            <v>-1.1467889908256867E-2</v>
          </cell>
          <cell r="I163">
            <v>-8.4291187739463647E-3</v>
          </cell>
          <cell r="J163">
            <v>9.2024539877300082E-3</v>
          </cell>
          <cell r="K163">
            <v>1.5302218821728886E-3</v>
          </cell>
          <cell r="L163">
            <v>-1.379310344827589E-2</v>
          </cell>
          <cell r="M163">
            <v>-3.5303146584804268E-2</v>
          </cell>
          <cell r="N163">
            <v>-8.4355828220858853E-2</v>
          </cell>
          <cell r="O163">
            <v>-0.25890736342042753</v>
          </cell>
          <cell r="P163">
            <v>-0.8623574144486692</v>
          </cell>
          <cell r="Q163">
            <v>-0.89088191330343802</v>
          </cell>
          <cell r="R163">
            <v>-0.89229618548990275</v>
          </cell>
          <cell r="S163">
            <v>-0.77069096431283213</v>
          </cell>
          <cell r="T163">
            <v>-0.52561983471074381</v>
          </cell>
          <cell r="U163">
            <v>-0.23664122137404575</v>
          </cell>
          <cell r="V163">
            <v>-0.18581081081081086</v>
          </cell>
          <cell r="W163">
            <v>-0.12814070351758799</v>
          </cell>
          <cell r="X163">
            <v>-0.16744548286604366</v>
          </cell>
          <cell r="Y163">
            <v>-0.153671461014383</v>
          </cell>
          <cell r="Z163">
            <v>-0.15903975993998498</v>
          </cell>
          <cell r="AA163">
            <v>-0.19585418155825585</v>
          </cell>
          <cell r="AB163">
            <v>-0.27340823970037453</v>
          </cell>
        </row>
        <row r="164">
          <cell r="C164" t="str">
            <v>Pakistan</v>
          </cell>
          <cell r="D164">
            <v>-2.2431259044862539E-2</v>
          </cell>
          <cell r="E164">
            <v>-3.2281205164992777E-2</v>
          </cell>
          <cell r="F164">
            <v>-7.2886297376093534E-3</v>
          </cell>
          <cell r="G164">
            <v>-3.1318281136198056E-2</v>
          </cell>
          <cell r="H164">
            <v>-4.5818181818181869E-2</v>
          </cell>
          <cell r="I164">
            <v>-5.1761322789360187E-2</v>
          </cell>
          <cell r="J164">
            <v>-5.1300578034682132E-2</v>
          </cell>
          <cell r="K164">
            <v>-5.428571428571427E-2</v>
          </cell>
          <cell r="L164">
            <v>-3.6585365853658569E-2</v>
          </cell>
          <cell r="M164">
            <v>-8.7175792507204641E-2</v>
          </cell>
          <cell r="N164">
            <v>-8.333333333333337E-2</v>
          </cell>
          <cell r="O164">
            <v>-0.29581749049429662</v>
          </cell>
          <cell r="P164">
            <v>-0.36638537271448668</v>
          </cell>
          <cell r="Q164">
            <v>-0.31215083798882681</v>
          </cell>
          <cell r="R164">
            <v>-0.31478658536585369</v>
          </cell>
          <cell r="S164">
            <v>-0.40967498110355249</v>
          </cell>
          <cell r="T164">
            <v>-0.70278637770897834</v>
          </cell>
          <cell r="U164">
            <v>-0.72359735973597361</v>
          </cell>
          <cell r="V164">
            <v>-0.71192052980132448</v>
          </cell>
          <cell r="W164">
            <v>-0.55930735930735931</v>
          </cell>
          <cell r="X164">
            <v>-0.27691043549712413</v>
          </cell>
          <cell r="Y164">
            <v>-0.16693037974683544</v>
          </cell>
          <cell r="Z164">
            <v>-0.22279411764705881</v>
          </cell>
          <cell r="AA164">
            <v>-0.20942408376963351</v>
          </cell>
          <cell r="AB164">
            <v>-0.31259484066767829</v>
          </cell>
        </row>
        <row r="165">
          <cell r="C165" t="str">
            <v>Palau</v>
          </cell>
          <cell r="D165">
            <v>0.15789473684210531</v>
          </cell>
          <cell r="E165">
            <v>0.22222222222222232</v>
          </cell>
          <cell r="F165">
            <v>0.16666666666666674</v>
          </cell>
          <cell r="G165">
            <v>0.10526315789473695</v>
          </cell>
          <cell r="H165">
            <v>-0.18181818181818177</v>
          </cell>
          <cell r="I165">
            <v>-9.9999999999999978E-2</v>
          </cell>
          <cell r="J165">
            <v>-0.13636363636363635</v>
          </cell>
          <cell r="K165">
            <v>0.11111111111111116</v>
          </cell>
          <cell r="L165">
            <v>0.17647058823529416</v>
          </cell>
          <cell r="M165">
            <v>5.8823529411764719E-2</v>
          </cell>
          <cell r="N165">
            <v>-0.15789473684210531</v>
          </cell>
          <cell r="O165">
            <v>-0.58823529411764708</v>
          </cell>
          <cell r="P165">
            <v>-1</v>
          </cell>
          <cell r="Q165">
            <v>-1</v>
          </cell>
          <cell r="R165">
            <v>-1</v>
          </cell>
          <cell r="S165">
            <v>-1</v>
          </cell>
          <cell r="T165">
            <v>-1</v>
          </cell>
          <cell r="U165">
            <v>-1</v>
          </cell>
          <cell r="V165">
            <v>-1</v>
          </cell>
          <cell r="W165">
            <v>-0.9375</v>
          </cell>
          <cell r="X165">
            <v>-1</v>
          </cell>
          <cell r="Y165">
            <v>-0.66666666666666674</v>
          </cell>
          <cell r="Z165">
            <v>-0.53333333333333333</v>
          </cell>
          <cell r="AA165">
            <v>-0.5714285714285714</v>
          </cell>
          <cell r="AB165">
            <v>-0.5625</v>
          </cell>
        </row>
        <row r="166">
          <cell r="C166" t="str">
            <v>Panama</v>
          </cell>
          <cell r="D166">
            <v>-7.0154577883472014E-2</v>
          </cell>
          <cell r="E166">
            <v>-6.4593301435406647E-2</v>
          </cell>
          <cell r="F166">
            <v>-6.6706730769230727E-2</v>
          </cell>
          <cell r="G166">
            <v>-7.3170731707317027E-2</v>
          </cell>
          <cell r="H166">
            <v>-8.8749999999999996E-2</v>
          </cell>
          <cell r="I166">
            <v>-3.3290653008962834E-2</v>
          </cell>
          <cell r="J166">
            <v>-4.485154769425137E-2</v>
          </cell>
          <cell r="K166">
            <v>-4.6056782334384816E-2</v>
          </cell>
          <cell r="L166">
            <v>-3.668564199873503E-2</v>
          </cell>
          <cell r="M166">
            <v>-3.6942675159235661E-2</v>
          </cell>
          <cell r="N166">
            <v>-3.505417463352456E-2</v>
          </cell>
          <cell r="O166">
            <v>-0.10898661567877632</v>
          </cell>
          <cell r="P166">
            <v>-0.11205211726384368</v>
          </cell>
          <cell r="Q166">
            <v>-0.86019417475728155</v>
          </cell>
          <cell r="R166">
            <v>-0.86395873629916187</v>
          </cell>
          <cell r="S166">
            <v>-0.86467143786597267</v>
          </cell>
          <cell r="T166">
            <v>-0.54104718810601171</v>
          </cell>
          <cell r="U166">
            <v>-0.86911669890393295</v>
          </cell>
          <cell r="V166">
            <v>-0.86610608020698576</v>
          </cell>
          <cell r="W166">
            <v>-0.86227544910179643</v>
          </cell>
          <cell r="X166">
            <v>-0.86017229953611662</v>
          </cell>
          <cell r="Y166">
            <v>-0.79682329583057576</v>
          </cell>
          <cell r="Z166">
            <v>-0.7371202113606341</v>
          </cell>
          <cell r="AA166">
            <v>-0.73605706874189369</v>
          </cell>
          <cell r="AB166">
            <v>-0.75472928897586433</v>
          </cell>
        </row>
        <row r="167">
          <cell r="C167" t="str">
            <v>Papua New Guinea</v>
          </cell>
          <cell r="D167">
            <v>8.4280303030302983E-2</v>
          </cell>
          <cell r="E167">
            <v>9.6135721017907683E-2</v>
          </cell>
          <cell r="F167">
            <v>8.4825636192271459E-2</v>
          </cell>
          <cell r="G167">
            <v>6.9223573433115027E-2</v>
          </cell>
          <cell r="H167">
            <v>7.2829131652661028E-2</v>
          </cell>
          <cell r="I167">
            <v>6.6976744186046488E-2</v>
          </cell>
          <cell r="J167">
            <v>5.4832713754646933E-2</v>
          </cell>
          <cell r="K167">
            <v>7.0688030160226178E-2</v>
          </cell>
          <cell r="L167">
            <v>3.4644194756554336E-2</v>
          </cell>
          <cell r="M167">
            <v>3.6380597014925353E-2</v>
          </cell>
          <cell r="N167">
            <v>3.4644194756554336E-2</v>
          </cell>
          <cell r="O167">
            <v>6.5727699530515604E-3</v>
          </cell>
          <cell r="P167">
            <v>-9.3370681605975392E-4</v>
          </cell>
          <cell r="Q167">
            <v>-0.114100185528757</v>
          </cell>
          <cell r="R167">
            <v>-0.17350746268656714</v>
          </cell>
          <cell r="S167">
            <v>-0.28758169934640521</v>
          </cell>
          <cell r="T167">
            <v>-0.13022813688212931</v>
          </cell>
          <cell r="U167">
            <v>-0.2396931927133269</v>
          </cell>
          <cell r="V167">
            <v>-0.21012416427889202</v>
          </cell>
          <cell r="W167">
            <v>9.6153846153845812E-3</v>
          </cell>
          <cell r="X167">
            <v>-8.4985835694051381E-3</v>
          </cell>
          <cell r="Y167">
            <v>2.6291079812206464E-2</v>
          </cell>
          <cell r="Z167">
            <v>3.6018957345971492E-2</v>
          </cell>
          <cell r="AA167">
            <v>5.0991501416430607E-2</v>
          </cell>
          <cell r="AB167">
            <v>-6.7748091603053395E-2</v>
          </cell>
        </row>
        <row r="168">
          <cell r="C168" t="str">
            <v>Paraguay</v>
          </cell>
          <cell r="D168">
            <v>-0.13478260869565217</v>
          </cell>
          <cell r="E168">
            <v>-0.14912280701754388</v>
          </cell>
          <cell r="F168">
            <v>-0.14601769911504425</v>
          </cell>
          <cell r="G168">
            <v>-9.4786729857819885E-2</v>
          </cell>
          <cell r="H168">
            <v>-3.5175879396984966E-2</v>
          </cell>
          <cell r="I168">
            <v>-2.5252525252525304E-2</v>
          </cell>
          <cell r="J168">
            <v>3.5714285714285809E-2</v>
          </cell>
          <cell r="K168">
            <v>5.6122448979591733E-2</v>
          </cell>
          <cell r="L168">
            <v>7.0707070707070718E-2</v>
          </cell>
          <cell r="M168">
            <v>7.6530612244897878E-2</v>
          </cell>
          <cell r="N168">
            <v>6.8421052631578938E-2</v>
          </cell>
          <cell r="O168">
            <v>-0.26041666666666663</v>
          </cell>
          <cell r="P168">
            <v>-0.45454545454545459</v>
          </cell>
          <cell r="Q168">
            <v>-0.5736842105263158</v>
          </cell>
          <cell r="R168">
            <v>-0.75824175824175821</v>
          </cell>
          <cell r="S168">
            <v>-0.75647668393782386</v>
          </cell>
          <cell r="T168">
            <v>-0.81382978723404253</v>
          </cell>
          <cell r="U168">
            <v>-0.82901554404145084</v>
          </cell>
          <cell r="V168">
            <v>-0.82901554404145084</v>
          </cell>
          <cell r="W168">
            <v>-0.62176165803108807</v>
          </cell>
          <cell r="X168">
            <v>-0.62371134020618557</v>
          </cell>
          <cell r="Y168">
            <v>-0.38541666666666663</v>
          </cell>
          <cell r="Z168">
            <v>-0.359375</v>
          </cell>
          <cell r="AA168">
            <v>-0.34736842105263155</v>
          </cell>
          <cell r="AB168">
            <v>-0.41269841269841268</v>
          </cell>
        </row>
        <row r="169">
          <cell r="C169" t="str">
            <v>Peru</v>
          </cell>
          <cell r="D169">
            <v>-0.12186271545207139</v>
          </cell>
          <cell r="E169">
            <v>-0.12605042016806722</v>
          </cell>
          <cell r="F169">
            <v>-0.10926949048496015</v>
          </cell>
          <cell r="G169">
            <v>-0.11476407914764075</v>
          </cell>
          <cell r="H169">
            <v>-0.13301521025946916</v>
          </cell>
          <cell r="I169">
            <v>-0.13491827637444276</v>
          </cell>
          <cell r="J169">
            <v>-0.13991163475699553</v>
          </cell>
          <cell r="K169">
            <v>-0.12954139368671824</v>
          </cell>
          <cell r="L169">
            <v>-0.11389728096676732</v>
          </cell>
          <cell r="M169">
            <v>-9.9424067899363422E-2</v>
          </cell>
          <cell r="N169">
            <v>-1.4849814377320247E-2</v>
          </cell>
          <cell r="O169">
            <v>-0.69651401230348597</v>
          </cell>
          <cell r="P169">
            <v>-0.58614807233026278</v>
          </cell>
          <cell r="Q169">
            <v>-0.72172172172172178</v>
          </cell>
          <cell r="R169">
            <v>-0.85217663639210772</v>
          </cell>
          <cell r="S169">
            <v>-0.97395669909005333</v>
          </cell>
          <cell r="T169">
            <v>-0.80309936189608022</v>
          </cell>
          <cell r="U169">
            <v>-0.91011578305911034</v>
          </cell>
          <cell r="V169">
            <v>-0.79675324675324677</v>
          </cell>
          <cell r="W169">
            <v>-0.81306990881458963</v>
          </cell>
          <cell r="X169">
            <v>-0.80968229954614224</v>
          </cell>
          <cell r="Y169">
            <v>-0.22174709835064144</v>
          </cell>
          <cell r="Z169">
            <v>-0.19366852886405961</v>
          </cell>
          <cell r="AA169">
            <v>-0.13658858462553614</v>
          </cell>
          <cell r="AB169">
            <v>-0.24983255190890818</v>
          </cell>
        </row>
        <row r="170">
          <cell r="C170" t="str">
            <v>Philippines</v>
          </cell>
          <cell r="D170">
            <v>0.13579443812001957</v>
          </cell>
          <cell r="E170">
            <v>0.11531100478468903</v>
          </cell>
          <cell r="F170">
            <v>0.12209209048612224</v>
          </cell>
          <cell r="G170">
            <v>0.10576616756928958</v>
          </cell>
          <cell r="H170">
            <v>4.7731197990265262E-2</v>
          </cell>
          <cell r="I170">
            <v>2.2063492063492118E-2</v>
          </cell>
          <cell r="J170">
            <v>2.596774193548379E-2</v>
          </cell>
          <cell r="K170">
            <v>1.9927249723232565E-2</v>
          </cell>
          <cell r="L170">
            <v>3.3349444175930332E-2</v>
          </cell>
          <cell r="M170">
            <v>-4.1447473298262816E-3</v>
          </cell>
          <cell r="N170">
            <v>-7.7108433734939252E-3</v>
          </cell>
          <cell r="O170">
            <v>-0.5770700636942675</v>
          </cell>
          <cell r="P170">
            <v>-0.63772500378157615</v>
          </cell>
          <cell r="Q170">
            <v>-0.6416228399699474</v>
          </cell>
          <cell r="R170">
            <v>-0.94201165745030635</v>
          </cell>
          <cell r="S170">
            <v>-0.94817255841821446</v>
          </cell>
          <cell r="T170">
            <v>-0.8710949347892023</v>
          </cell>
          <cell r="U170">
            <v>-0.9135407136322049</v>
          </cell>
          <cell r="V170">
            <v>-0.61332099907493065</v>
          </cell>
          <cell r="W170">
            <v>-0.18602484472049685</v>
          </cell>
          <cell r="X170">
            <v>-0.16526871699285495</v>
          </cell>
          <cell r="Y170">
            <v>3.5125229077581643E-3</v>
          </cell>
          <cell r="Z170">
            <v>1.163502755664414E-2</v>
          </cell>
          <cell r="AA170">
            <v>1.3176037996016632E-2</v>
          </cell>
          <cell r="AB170">
            <v>-0.12006172839506168</v>
          </cell>
        </row>
        <row r="171">
          <cell r="C171" t="str">
            <v>Poland</v>
          </cell>
          <cell r="D171">
            <v>8.1359102244389137E-2</v>
          </cell>
          <cell r="E171">
            <v>6.6898075102556076E-2</v>
          </cell>
          <cell r="F171">
            <v>6.4424890006285374E-2</v>
          </cell>
          <cell r="G171">
            <v>6.5367693274670069E-2</v>
          </cell>
          <cell r="H171">
            <v>6.3299033364515145E-2</v>
          </cell>
          <cell r="I171">
            <v>6.4806201550387632E-2</v>
          </cell>
          <cell r="J171">
            <v>6.4486269669854934E-2</v>
          </cell>
          <cell r="K171">
            <v>6.6563944530046326E-2</v>
          </cell>
          <cell r="L171">
            <v>6.5619223659889148E-2</v>
          </cell>
          <cell r="M171">
            <v>4.4067796610169463E-2</v>
          </cell>
          <cell r="N171">
            <v>-2.7384615384615341E-2</v>
          </cell>
          <cell r="O171">
            <v>-0.71921784295753133</v>
          </cell>
          <cell r="P171">
            <v>-0.80339265850945496</v>
          </cell>
          <cell r="Q171">
            <v>-0.77199331848552344</v>
          </cell>
          <cell r="R171">
            <v>-0.82598996095928612</v>
          </cell>
          <cell r="S171">
            <v>-0.98041881968996469</v>
          </cell>
          <cell r="T171">
            <v>-0.90566037735849059</v>
          </cell>
          <cell r="U171">
            <v>-0.81384573453257014</v>
          </cell>
          <cell r="V171">
            <v>-0.77918576435696951</v>
          </cell>
          <cell r="W171">
            <v>-0.74450990894483127</v>
          </cell>
          <cell r="X171">
            <v>-0.73971138428647776</v>
          </cell>
          <cell r="Y171">
            <v>-0.16491043203371969</v>
          </cell>
          <cell r="Z171">
            <v>-0.17369791666666667</v>
          </cell>
          <cell r="AA171">
            <v>-0.17099792099792099</v>
          </cell>
          <cell r="AB171">
            <v>-0.28934531450577661</v>
          </cell>
        </row>
        <row r="172">
          <cell r="C172" t="str">
            <v>Portugal</v>
          </cell>
          <cell r="D172">
            <v>3.6626916524701958E-2</v>
          </cell>
          <cell r="E172">
            <v>-1.3637711236288208E-2</v>
          </cell>
          <cell r="F172">
            <v>-1.4934289127837563E-2</v>
          </cell>
          <cell r="G172">
            <v>5.9934072520226866E-3</v>
          </cell>
          <cell r="H172">
            <v>-1.4501160092806886E-3</v>
          </cell>
          <cell r="I172">
            <v>1.7638691322901856E-2</v>
          </cell>
          <cell r="J172">
            <v>6.6242406711021218E-2</v>
          </cell>
          <cell r="K172">
            <v>5.6221461187214716E-2</v>
          </cell>
          <cell r="L172">
            <v>4.1561359168772904E-2</v>
          </cell>
          <cell r="M172">
            <v>4.1298775277698763E-2</v>
          </cell>
          <cell r="N172">
            <v>-2.7424370935821285E-2</v>
          </cell>
          <cell r="O172">
            <v>-0.70457048458149774</v>
          </cell>
          <cell r="P172">
            <v>-0.8515444905486399</v>
          </cell>
          <cell r="Q172">
            <v>-0.92892938496583144</v>
          </cell>
          <cell r="R172">
            <v>-0.9452300785634119</v>
          </cell>
          <cell r="S172">
            <v>-0.92288834410519283</v>
          </cell>
          <cell r="T172">
            <v>-0.9192341549295775</v>
          </cell>
          <cell r="U172">
            <v>-0.95489719212911783</v>
          </cell>
          <cell r="V172">
            <v>-0.92603287427809866</v>
          </cell>
          <cell r="W172">
            <v>-0.47650562541363339</v>
          </cell>
          <cell r="X172">
            <v>-0.42662632375189102</v>
          </cell>
          <cell r="Y172">
            <v>-0.17774016081252642</v>
          </cell>
          <cell r="Z172">
            <v>-0.16012526096033408</v>
          </cell>
          <cell r="AA172">
            <v>-0.12971059754320213</v>
          </cell>
          <cell r="AB172">
            <v>-0.25711382113821135</v>
          </cell>
        </row>
        <row r="173">
          <cell r="C173" t="str">
            <v>Puerto Rico</v>
          </cell>
          <cell r="D173">
            <v>0.21851385390428213</v>
          </cell>
          <cell r="E173">
            <v>0.19529262086513999</v>
          </cell>
          <cell r="F173">
            <v>0.18258064516129036</v>
          </cell>
          <cell r="G173">
            <v>0.16367137355584083</v>
          </cell>
          <cell r="H173">
            <v>0.16889738687061828</v>
          </cell>
          <cell r="I173">
            <v>0.15088383838383845</v>
          </cell>
          <cell r="J173">
            <v>0.14312617702448205</v>
          </cell>
          <cell r="K173">
            <v>0.16476552598225602</v>
          </cell>
          <cell r="L173">
            <v>0.14599877825290175</v>
          </cell>
          <cell r="M173">
            <v>0.16035502958579873</v>
          </cell>
          <cell r="N173">
            <v>0.15699052132701419</v>
          </cell>
          <cell r="O173">
            <v>5.2850356294536827E-2</v>
          </cell>
          <cell r="P173">
            <v>-9.8967820279295737E-2</v>
          </cell>
          <cell r="Q173">
            <v>-0.26060606060606062</v>
          </cell>
          <cell r="R173">
            <v>-0.41868716735659373</v>
          </cell>
          <cell r="S173">
            <v>-0.4457177322074789</v>
          </cell>
          <cell r="T173">
            <v>-0.41475511469311843</v>
          </cell>
          <cell r="U173">
            <v>-0.48573240329740008</v>
          </cell>
          <cell r="V173">
            <v>-0.47640306122448983</v>
          </cell>
          <cell r="W173">
            <v>-0.47776365946632782</v>
          </cell>
          <cell r="X173">
            <v>-0.47100063734862974</v>
          </cell>
          <cell r="Y173">
            <v>-0.35312500000000002</v>
          </cell>
          <cell r="Z173">
            <v>-0.26528189910979227</v>
          </cell>
          <cell r="AA173">
            <v>-0.18856806128461989</v>
          </cell>
          <cell r="AB173">
            <v>-0.26122931442080377</v>
          </cell>
        </row>
        <row r="174">
          <cell r="C174" t="str">
            <v>Qatar</v>
          </cell>
          <cell r="D174">
            <v>5.1453072891853191E-2</v>
          </cell>
          <cell r="E174">
            <v>4.9188156638013458E-2</v>
          </cell>
          <cell r="F174">
            <v>4.921165790731008E-2</v>
          </cell>
          <cell r="G174">
            <v>4.4243577545195034E-2</v>
          </cell>
          <cell r="H174">
            <v>3.8279773156899788E-2</v>
          </cell>
          <cell r="I174">
            <v>3.8697498820198239E-2</v>
          </cell>
          <cell r="J174">
            <v>3.0346135609293556E-2</v>
          </cell>
          <cell r="K174">
            <v>3.3745247148289081E-2</v>
          </cell>
          <cell r="L174">
            <v>3.3317467872441719E-2</v>
          </cell>
          <cell r="M174">
            <v>-2.6091081593927923E-2</v>
          </cell>
          <cell r="N174">
            <v>-0.13206650831353917</v>
          </cell>
          <cell r="O174">
            <v>-0.4793863854266539</v>
          </cell>
          <cell r="P174">
            <v>-0.67609008145663629</v>
          </cell>
          <cell r="Q174">
            <v>-0.7916865742952699</v>
          </cell>
          <cell r="R174">
            <v>-0.79226361031518622</v>
          </cell>
          <cell r="S174">
            <v>-0.83796740172579098</v>
          </cell>
          <cell r="T174">
            <v>-0.8489173228346456</v>
          </cell>
          <cell r="U174">
            <v>-0.84255967496190953</v>
          </cell>
          <cell r="V174">
            <v>-0.80348004094165815</v>
          </cell>
          <cell r="W174">
            <v>-0.76183206106870227</v>
          </cell>
          <cell r="X174">
            <v>-0.75467059980334317</v>
          </cell>
          <cell r="Y174">
            <v>-8.2577565632458216E-2</v>
          </cell>
          <cell r="Z174">
            <v>-7.4761904761904807E-2</v>
          </cell>
          <cell r="AA174">
            <v>-7.706855791962175E-2</v>
          </cell>
          <cell r="AB174">
            <v>-0.21448730009407335</v>
          </cell>
        </row>
        <row r="175">
          <cell r="C175" t="str">
            <v>Reunion</v>
          </cell>
          <cell r="D175">
            <v>5.4878048780487854E-2</v>
          </cell>
          <cell r="E175">
            <v>-3.59281437125748E-2</v>
          </cell>
          <cell r="F175">
            <v>-3.6809815950920255E-2</v>
          </cell>
          <cell r="G175">
            <v>1.4598540145985384E-2</v>
          </cell>
          <cell r="H175">
            <v>6.0606060606060552E-2</v>
          </cell>
          <cell r="I175">
            <v>-2.2900763358778664E-2</v>
          </cell>
          <cell r="J175">
            <v>-7.5757575757575801E-2</v>
          </cell>
          <cell r="K175">
            <v>7.6335877862594437E-3</v>
          </cell>
          <cell r="L175">
            <v>-2.877697841726623E-2</v>
          </cell>
          <cell r="M175">
            <v>-6.8493150684931781E-3</v>
          </cell>
          <cell r="N175">
            <v>-4.1095890410958957E-2</v>
          </cell>
          <cell r="O175">
            <v>-0.43939393939393945</v>
          </cell>
          <cell r="P175">
            <v>-0.86131386861313874</v>
          </cell>
          <cell r="Q175">
            <v>-0.97122302158273377</v>
          </cell>
          <cell r="R175">
            <v>-0.96453900709219853</v>
          </cell>
          <cell r="S175">
            <v>-0.90647482014388492</v>
          </cell>
          <cell r="T175">
            <v>-0.95070422535211263</v>
          </cell>
          <cell r="U175">
            <v>-0.91836734693877553</v>
          </cell>
          <cell r="V175">
            <v>-0.53797468354430378</v>
          </cell>
          <cell r="W175">
            <v>-0.17557251908396942</v>
          </cell>
          <cell r="X175">
            <v>-0.18181818181818177</v>
          </cell>
          <cell r="Y175">
            <v>-0.16030534351145043</v>
          </cell>
          <cell r="Z175">
            <v>-0.13868613138686137</v>
          </cell>
          <cell r="AA175">
            <v>-2.1582733812949617E-2</v>
          </cell>
          <cell r="AB175">
            <v>-0.20645161290322578</v>
          </cell>
        </row>
        <row r="176">
          <cell r="C176" t="str">
            <v>Romania</v>
          </cell>
          <cell r="D176">
            <v>-2.1765417170495738E-2</v>
          </cell>
          <cell r="E176">
            <v>-1.2650221378873727E-3</v>
          </cell>
          <cell r="F176">
            <v>7.152145643693153E-3</v>
          </cell>
          <cell r="G176">
            <v>-2.5559105431309792E-3</v>
          </cell>
          <cell r="H176">
            <v>5.12820512820511E-3</v>
          </cell>
          <cell r="I176">
            <v>6.4391500321956396E-3</v>
          </cell>
          <cell r="J176">
            <v>1.0315925209542165E-2</v>
          </cell>
          <cell r="K176">
            <v>1.3548387096774084E-2</v>
          </cell>
          <cell r="L176">
            <v>3.7037037037036979E-2</v>
          </cell>
          <cell r="M176">
            <v>1.6828478964401317E-2</v>
          </cell>
          <cell r="N176">
            <v>-4.637491835401697E-2</v>
          </cell>
          <cell r="O176">
            <v>-0.36722797927461137</v>
          </cell>
          <cell r="P176">
            <v>-0.56774193548387097</v>
          </cell>
          <cell r="Q176">
            <v>-0.65606595995288575</v>
          </cell>
          <cell r="R176">
            <v>-0.66724637681159416</v>
          </cell>
          <cell r="S176">
            <v>-0.88265895953757223</v>
          </cell>
          <cell r="T176">
            <v>-0.7760233918128655</v>
          </cell>
          <cell r="U176">
            <v>-0.64454702827466814</v>
          </cell>
          <cell r="V176">
            <v>-0.58174465626805316</v>
          </cell>
          <cell r="W176">
            <v>-0.47025171624713957</v>
          </cell>
          <cell r="X176">
            <v>-0.45386819484240692</v>
          </cell>
          <cell r="Y176">
            <v>-0.2481628038439796</v>
          </cell>
          <cell r="Z176">
            <v>-0.24678231673195294</v>
          </cell>
          <cell r="AA176">
            <v>-0.23606557377049175</v>
          </cell>
          <cell r="AB176">
            <v>-0.35306781485468242</v>
          </cell>
        </row>
        <row r="177">
          <cell r="C177" t="str">
            <v>Russian Federation</v>
          </cell>
          <cell r="D177">
            <v>-3.4044348035671246E-2</v>
          </cell>
          <cell r="E177">
            <v>-7.0105479804476456E-3</v>
          </cell>
          <cell r="F177">
            <v>4.16611559317559E-3</v>
          </cell>
          <cell r="G177">
            <v>2.5025501530091754E-2</v>
          </cell>
          <cell r="H177">
            <v>8.9743589743589425E-3</v>
          </cell>
          <cell r="I177">
            <v>1.406752411575507E-3</v>
          </cell>
          <cell r="J177">
            <v>9.5629335308775598E-3</v>
          </cell>
          <cell r="K177">
            <v>-5.6957414398304262E-3</v>
          </cell>
          <cell r="L177">
            <v>-8.3826109558775563E-3</v>
          </cell>
          <cell r="M177">
            <v>-5.1526219671276241E-3</v>
          </cell>
          <cell r="N177">
            <v>-3.4766576677421446E-2</v>
          </cell>
          <cell r="O177">
            <v>-0.14378082922277025</v>
          </cell>
          <cell r="P177">
            <v>-0.25506625097427904</v>
          </cell>
          <cell r="Q177">
            <v>-0.50167465685952584</v>
          </cell>
          <cell r="R177">
            <v>-0.60472162605731605</v>
          </cell>
          <cell r="S177">
            <v>-0.65763143532836099</v>
          </cell>
          <cell r="T177">
            <v>-0.57885483209283239</v>
          </cell>
          <cell r="U177">
            <v>-0.68958040318799818</v>
          </cell>
          <cell r="V177">
            <v>-0.59915833771699112</v>
          </cell>
          <cell r="W177">
            <v>-0.53886844526218947</v>
          </cell>
          <cell r="X177">
            <v>-0.48922520151340676</v>
          </cell>
          <cell r="Y177">
            <v>-6.9740266638338544E-2</v>
          </cell>
          <cell r="Z177">
            <v>-6.485442971929456E-2</v>
          </cell>
          <cell r="AA177">
            <v>-5.3022768908662643E-2</v>
          </cell>
          <cell r="AB177">
            <v>-0.18236525379382518</v>
          </cell>
        </row>
        <row r="178">
          <cell r="C178" t="str">
            <v>Rwanda</v>
          </cell>
          <cell r="D178">
            <v>-3.7974683544303778E-2</v>
          </cell>
          <cell r="E178">
            <v>-1.3071895424836555E-2</v>
          </cell>
          <cell r="F178">
            <v>-2.6143790849673221E-2</v>
          </cell>
          <cell r="G178">
            <v>-3.5830618892508159E-2</v>
          </cell>
          <cell r="H178">
            <v>-2.960526315789469E-2</v>
          </cell>
          <cell r="I178">
            <v>-2.960526315789469E-2</v>
          </cell>
          <cell r="J178">
            <v>-4.2345276872964188E-2</v>
          </cell>
          <cell r="K178">
            <v>-3.9087947882736174E-2</v>
          </cell>
          <cell r="L178">
            <v>-3.289473684210531E-2</v>
          </cell>
          <cell r="M178">
            <v>-4.2483660130718914E-2</v>
          </cell>
          <cell r="N178">
            <v>-9.0322580645161299E-2</v>
          </cell>
          <cell r="O178">
            <v>-0.85987261146496818</v>
          </cell>
          <cell r="P178">
            <v>-0.94585987261146498</v>
          </cell>
          <cell r="Q178">
            <v>-0.95541401273885351</v>
          </cell>
          <cell r="R178">
            <v>-0.95583596214511046</v>
          </cell>
          <cell r="S178">
            <v>-0.47812500000000002</v>
          </cell>
          <cell r="T178">
            <v>-0.92113564668769721</v>
          </cell>
          <cell r="U178">
            <v>-0.93730407523510972</v>
          </cell>
          <cell r="V178">
            <v>-0.45426829268292679</v>
          </cell>
          <cell r="W178">
            <v>-0.24137931034482762</v>
          </cell>
          <cell r="X178">
            <v>-0.20125786163522008</v>
          </cell>
          <cell r="Y178">
            <v>-0.13015873015873014</v>
          </cell>
          <cell r="Z178">
            <v>-0.12179487179487181</v>
          </cell>
          <cell r="AA178">
            <v>-0.13836477987421381</v>
          </cell>
          <cell r="AB178">
            <v>-0.27076923076923076</v>
          </cell>
        </row>
        <row r="179">
          <cell r="C179" t="str">
            <v>Saint Barthelemy</v>
          </cell>
          <cell r="D179">
            <v>0.1015625</v>
          </cell>
          <cell r="E179">
            <v>5.2083333333333259E-2</v>
          </cell>
          <cell r="F179">
            <v>7.6719576719576743E-2</v>
          </cell>
          <cell r="G179">
            <v>6.0526315789473761E-2</v>
          </cell>
          <cell r="H179">
            <v>6.25E-2</v>
          </cell>
          <cell r="I179">
            <v>7.9283887468030612E-2</v>
          </cell>
          <cell r="J179">
            <v>8.5784313725490113E-2</v>
          </cell>
          <cell r="K179">
            <v>9.6103896103896025E-2</v>
          </cell>
          <cell r="L179">
            <v>4.8101265822784844E-2</v>
          </cell>
          <cell r="M179">
            <v>3.2499999999999973E-2</v>
          </cell>
          <cell r="N179">
            <v>5.7934508816120944E-2</v>
          </cell>
          <cell r="O179">
            <v>-0.26992287917737789</v>
          </cell>
          <cell r="P179">
            <v>-0.22513089005235598</v>
          </cell>
          <cell r="Q179">
            <v>-0.18206521739130432</v>
          </cell>
          <cell r="R179">
            <v>-0.30851063829787229</v>
          </cell>
          <cell r="S179">
            <v>-0.33684210526315794</v>
          </cell>
          <cell r="T179">
            <v>-0.30294906166219837</v>
          </cell>
          <cell r="U179">
            <v>-0.27932960893854752</v>
          </cell>
          <cell r="V179">
            <v>-0.11849710982658956</v>
          </cell>
          <cell r="W179">
            <v>-0.15895953757225434</v>
          </cell>
          <cell r="X179">
            <v>-0.14454277286135697</v>
          </cell>
          <cell r="Y179">
            <v>-0.17846153846153845</v>
          </cell>
          <cell r="Z179">
            <v>-0.18827160493827155</v>
          </cell>
          <cell r="AA179">
            <v>-0.19325153374233128</v>
          </cell>
          <cell r="AB179">
            <v>-0.47044917257683216</v>
          </cell>
        </row>
        <row r="180">
          <cell r="C180" t="str">
            <v>Saint Helena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-0.75</v>
          </cell>
          <cell r="M180">
            <v>-0.4</v>
          </cell>
          <cell r="N180">
            <v>-0.5</v>
          </cell>
          <cell r="O180">
            <v>-0.5</v>
          </cell>
          <cell r="P180">
            <v>-1</v>
          </cell>
          <cell r="Q180">
            <v>-1</v>
          </cell>
          <cell r="R180">
            <v>-1</v>
          </cell>
          <cell r="S180">
            <v>-0.5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-0.66666666666666674</v>
          </cell>
          <cell r="Z180">
            <v>2</v>
          </cell>
          <cell r="AA180">
            <v>0</v>
          </cell>
          <cell r="AB180">
            <v>0</v>
          </cell>
        </row>
        <row r="181">
          <cell r="C181" t="str">
            <v>Saint Kitts and Nevis, Leeward Islands</v>
          </cell>
          <cell r="D181">
            <v>-0.17482517482517479</v>
          </cell>
          <cell r="E181">
            <v>-0.1619718309859155</v>
          </cell>
          <cell r="F181">
            <v>-0.23448275862068968</v>
          </cell>
          <cell r="G181">
            <v>-0.22377622377622375</v>
          </cell>
          <cell r="H181">
            <v>-0.19285714285714284</v>
          </cell>
          <cell r="I181">
            <v>-0.21678321678321677</v>
          </cell>
          <cell r="J181">
            <v>-0.21126760563380287</v>
          </cell>
          <cell r="K181">
            <v>-0.22222222222222221</v>
          </cell>
          <cell r="L181">
            <v>-0.20422535211267601</v>
          </cell>
          <cell r="M181">
            <v>-0.20567375886524819</v>
          </cell>
          <cell r="N181">
            <v>-0.20567375886524819</v>
          </cell>
          <cell r="O181">
            <v>-0.39007092198581561</v>
          </cell>
          <cell r="P181">
            <v>-0.57462686567164178</v>
          </cell>
          <cell r="Q181">
            <v>-0.5</v>
          </cell>
          <cell r="R181">
            <v>-0.77611940298507465</v>
          </cell>
          <cell r="S181">
            <v>-0.61481481481481481</v>
          </cell>
          <cell r="T181">
            <v>-0.81889763779527558</v>
          </cell>
          <cell r="U181">
            <v>-0.81818181818181812</v>
          </cell>
          <cell r="V181">
            <v>-0.63636363636363635</v>
          </cell>
          <cell r="W181">
            <v>-0.44262295081967218</v>
          </cell>
          <cell r="X181">
            <v>-0.44262295081967218</v>
          </cell>
          <cell r="Y181">
            <v>-0.390625</v>
          </cell>
          <cell r="Z181">
            <v>-0.36434108527131781</v>
          </cell>
          <cell r="AA181">
            <v>-0.34920634920634919</v>
          </cell>
          <cell r="AB181">
            <v>-0.44186046511627908</v>
          </cell>
        </row>
        <row r="182">
          <cell r="C182" t="str">
            <v>Saint Lucia</v>
          </cell>
          <cell r="D182">
            <v>-0.1048951048951049</v>
          </cell>
          <cell r="E182">
            <v>-0.11971830985915488</v>
          </cell>
          <cell r="F182">
            <v>-0.11888111888111885</v>
          </cell>
          <cell r="G182">
            <v>-0.13380281690140849</v>
          </cell>
          <cell r="H182">
            <v>-0.13888888888888884</v>
          </cell>
          <cell r="I182">
            <v>-6.3380281690140872E-2</v>
          </cell>
          <cell r="J182">
            <v>-1.4184397163120588E-2</v>
          </cell>
          <cell r="K182">
            <v>-4.8275862068965503E-2</v>
          </cell>
          <cell r="L182">
            <v>-7.4324324324324342E-2</v>
          </cell>
          <cell r="M182">
            <v>-6.944444444444442E-2</v>
          </cell>
          <cell r="N182">
            <v>-4.9295774647887369E-2</v>
          </cell>
          <cell r="O182">
            <v>-0.34285714285714286</v>
          </cell>
          <cell r="P182">
            <v>-0.61068702290076338</v>
          </cell>
          <cell r="Q182">
            <v>-0.77165354330708658</v>
          </cell>
          <cell r="R182">
            <v>-0.8854961832061069</v>
          </cell>
          <cell r="S182">
            <v>-0.79699248120300759</v>
          </cell>
          <cell r="T182">
            <v>-0.86507936507936511</v>
          </cell>
          <cell r="U182">
            <v>-0.85483870967741937</v>
          </cell>
          <cell r="V182">
            <v>-0.67500000000000004</v>
          </cell>
          <cell r="W182">
            <v>-0.4916666666666667</v>
          </cell>
          <cell r="X182">
            <v>-0.43333333333333335</v>
          </cell>
          <cell r="Y182">
            <v>-0.19047619047619047</v>
          </cell>
          <cell r="Z182">
            <v>-0.16923076923076918</v>
          </cell>
          <cell r="AA182">
            <v>-0.14615384615384619</v>
          </cell>
          <cell r="AB182">
            <v>-0.30303030303030298</v>
          </cell>
        </row>
        <row r="183">
          <cell r="C183" t="str">
            <v>Saint Martin</v>
          </cell>
          <cell r="D183">
            <v>0.1588785046728971</v>
          </cell>
          <cell r="E183">
            <v>0.1132075471698113</v>
          </cell>
          <cell r="F183">
            <v>6.4220183486238591E-2</v>
          </cell>
          <cell r="G183">
            <v>5.504587155963292E-2</v>
          </cell>
          <cell r="H183">
            <v>5.504587155963292E-2</v>
          </cell>
          <cell r="I183">
            <v>5.504587155963292E-2</v>
          </cell>
          <cell r="J183">
            <v>0.10000000000000009</v>
          </cell>
          <cell r="K183">
            <v>-1.6393442622950838E-2</v>
          </cell>
          <cell r="L183">
            <v>-4.9180327868852514E-2</v>
          </cell>
          <cell r="M183">
            <v>0</v>
          </cell>
          <cell r="N183">
            <v>-1.834862385321101E-2</v>
          </cell>
          <cell r="O183">
            <v>-9.3457943925233655E-2</v>
          </cell>
          <cell r="P183">
            <v>-0.15596330275229353</v>
          </cell>
          <cell r="Q183">
            <v>-0.11009174311926606</v>
          </cell>
          <cell r="R183">
            <v>-0.20512820512820518</v>
          </cell>
          <cell r="S183">
            <v>-0.28099173553719003</v>
          </cell>
          <cell r="T183">
            <v>-0.30508474576271183</v>
          </cell>
          <cell r="U183">
            <v>0.125</v>
          </cell>
          <cell r="V183">
            <v>0.25961538461538458</v>
          </cell>
          <cell r="W183">
            <v>0.25961538461538458</v>
          </cell>
          <cell r="X183">
            <v>0.24038461538461542</v>
          </cell>
          <cell r="Y183">
            <v>3.8461538461538547E-2</v>
          </cell>
          <cell r="Z183">
            <v>3.8461538461538547E-2</v>
          </cell>
          <cell r="AA183">
            <v>3.8461538461538547E-2</v>
          </cell>
          <cell r="AB183">
            <v>-0.1454545454545455</v>
          </cell>
        </row>
        <row r="184">
          <cell r="C184" t="str">
            <v>Saint Pierre and Miquelon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0.625</v>
          </cell>
          <cell r="S184">
            <v>0</v>
          </cell>
          <cell r="T184">
            <v>0.375</v>
          </cell>
          <cell r="U184">
            <v>0</v>
          </cell>
          <cell r="V184">
            <v>0.125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-0.30000000000000004</v>
          </cell>
        </row>
        <row r="185">
          <cell r="C185" t="str">
            <v>Samoa</v>
          </cell>
          <cell r="D185">
            <v>-0.16666666666666663</v>
          </cell>
          <cell r="E185">
            <v>-5.2631578947368474E-2</v>
          </cell>
          <cell r="F185">
            <v>-0.1428571428571429</v>
          </cell>
          <cell r="G185">
            <v>-6.4516129032258118E-2</v>
          </cell>
          <cell r="H185">
            <v>7.6923076923076872E-2</v>
          </cell>
          <cell r="I185">
            <v>0</v>
          </cell>
          <cell r="J185">
            <v>-4.0000000000000036E-2</v>
          </cell>
          <cell r="K185">
            <v>-4.0000000000000036E-2</v>
          </cell>
          <cell r="L185">
            <v>-0.19230769230769229</v>
          </cell>
          <cell r="M185">
            <v>-0.26923076923076927</v>
          </cell>
          <cell r="N185">
            <v>-0.26923076923076927</v>
          </cell>
          <cell r="O185">
            <v>-0.48148148148148151</v>
          </cell>
          <cell r="P185">
            <v>-0.5357142857142857</v>
          </cell>
          <cell r="Q185">
            <v>-0.59375</v>
          </cell>
          <cell r="R185">
            <v>-0.65625</v>
          </cell>
          <cell r="S185">
            <v>-0.625</v>
          </cell>
          <cell r="T185">
            <v>-0.55555555555555558</v>
          </cell>
          <cell r="U185">
            <v>-0.46153846153846156</v>
          </cell>
          <cell r="V185">
            <v>-0.46153846153846156</v>
          </cell>
          <cell r="W185">
            <v>-0.46153846153846156</v>
          </cell>
          <cell r="X185">
            <v>-0.46153846153846156</v>
          </cell>
          <cell r="Y185">
            <v>-0.30769230769230771</v>
          </cell>
          <cell r="Z185">
            <v>-0.30769230769230771</v>
          </cell>
          <cell r="AA185">
            <v>-0.22222222222222221</v>
          </cell>
          <cell r="AB185">
            <v>-0.37037037037037035</v>
          </cell>
        </row>
        <row r="186">
          <cell r="C186" t="str">
            <v>Sao Tome and Principe</v>
          </cell>
          <cell r="D186">
            <v>0.88888888888888884</v>
          </cell>
          <cell r="E186">
            <v>0.77777777777777768</v>
          </cell>
          <cell r="F186">
            <v>0.77777777777777768</v>
          </cell>
          <cell r="G186">
            <v>0.77777777777777768</v>
          </cell>
          <cell r="H186">
            <v>-5.8823529411764719E-2</v>
          </cell>
          <cell r="I186">
            <v>2.9411764705882248E-2</v>
          </cell>
          <cell r="J186">
            <v>0</v>
          </cell>
          <cell r="K186">
            <v>0</v>
          </cell>
          <cell r="L186">
            <v>5.8823529411764719E-2</v>
          </cell>
          <cell r="M186">
            <v>5.8823529411764719E-2</v>
          </cell>
          <cell r="N186">
            <v>5.8823529411764719E-2</v>
          </cell>
          <cell r="O186">
            <v>-0.35483870967741937</v>
          </cell>
          <cell r="P186">
            <v>-0.15625</v>
          </cell>
          <cell r="Q186">
            <v>-0.375</v>
          </cell>
          <cell r="R186">
            <v>-0.4375</v>
          </cell>
          <cell r="S186">
            <v>-0.3125</v>
          </cell>
          <cell r="T186">
            <v>-0.41176470588235292</v>
          </cell>
          <cell r="U186">
            <v>-0.38709677419354838</v>
          </cell>
          <cell r="V186">
            <v>-0.5957446808510638</v>
          </cell>
          <cell r="W186">
            <v>-0.47169811320754718</v>
          </cell>
          <cell r="X186">
            <v>-0.47169811320754718</v>
          </cell>
          <cell r="Y186">
            <v>-0.50909090909090904</v>
          </cell>
          <cell r="Z186">
            <v>-0.49090909090909096</v>
          </cell>
          <cell r="AA186">
            <v>-0.28205128205128205</v>
          </cell>
          <cell r="AB186">
            <v>-0.38461538461538458</v>
          </cell>
        </row>
        <row r="187">
          <cell r="C187" t="str">
            <v>Saudi Arabia</v>
          </cell>
          <cell r="D187">
            <v>1.5748031496062964E-2</v>
          </cell>
          <cell r="E187">
            <v>1.7669392523364413E-2</v>
          </cell>
          <cell r="F187">
            <v>6.5502183406114245E-3</v>
          </cell>
          <cell r="G187">
            <v>2.4541648621336787E-3</v>
          </cell>
          <cell r="H187">
            <v>9.690207018059116E-3</v>
          </cell>
          <cell r="I187">
            <v>9.8010098010097302E-3</v>
          </cell>
          <cell r="J187">
            <v>1.2440758293838838E-2</v>
          </cell>
          <cell r="K187">
            <v>3.088689513163656E-3</v>
          </cell>
          <cell r="L187">
            <v>1.6458486407053607E-2</v>
          </cell>
          <cell r="M187">
            <v>-1.5984748496847057E-2</v>
          </cell>
          <cell r="N187">
            <v>-0.16038011695906429</v>
          </cell>
          <cell r="O187">
            <v>-0.32481913479994096</v>
          </cell>
          <cell r="P187">
            <v>-0.37546256760603469</v>
          </cell>
          <cell r="Q187">
            <v>-0.39036353144835545</v>
          </cell>
          <cell r="R187">
            <v>-0.42295461115929456</v>
          </cell>
          <cell r="S187">
            <v>-0.50408367961025935</v>
          </cell>
          <cell r="T187">
            <v>-0.69483898185909154</v>
          </cell>
          <cell r="U187">
            <v>-1</v>
          </cell>
          <cell r="V187">
            <v>-0.87424286126334005</v>
          </cell>
          <cell r="W187">
            <v>-0.73778290327230789</v>
          </cell>
          <cell r="X187">
            <v>-0.69802622100561873</v>
          </cell>
          <cell r="Y187">
            <v>-0.50550178973883075</v>
          </cell>
          <cell r="Z187">
            <v>-0.49301505493015052</v>
          </cell>
          <cell r="AA187">
            <v>-0.47750281214848145</v>
          </cell>
          <cell r="AB187">
            <v>-0.53920438166618623</v>
          </cell>
        </row>
        <row r="188">
          <cell r="C188" t="str">
            <v>Senegal</v>
          </cell>
          <cell r="D188">
            <v>4.4510385756676651E-2</v>
          </cell>
          <cell r="E188">
            <v>6.4615384615384519E-2</v>
          </cell>
          <cell r="F188">
            <v>5.2469135802469147E-2</v>
          </cell>
          <cell r="G188">
            <v>5.2795031055900665E-2</v>
          </cell>
          <cell r="H188">
            <v>5.4313099041533475E-2</v>
          </cell>
          <cell r="I188">
            <v>5.4313099041533475E-2</v>
          </cell>
          <cell r="J188">
            <v>6.472491909385103E-2</v>
          </cell>
          <cell r="K188">
            <v>4.1139240506329111E-2</v>
          </cell>
          <cell r="L188">
            <v>6.8403908794788304E-2</v>
          </cell>
          <cell r="M188">
            <v>6.9536423841059625E-2</v>
          </cell>
          <cell r="N188">
            <v>8.3056478405315604E-2</v>
          </cell>
          <cell r="O188">
            <v>-0.28431372549019607</v>
          </cell>
          <cell r="P188">
            <v>-0.3112582781456954</v>
          </cell>
          <cell r="Q188">
            <v>-0.29934210526315785</v>
          </cell>
          <cell r="R188">
            <v>-0.46416382252559729</v>
          </cell>
          <cell r="S188">
            <v>-0.49122807017543857</v>
          </cell>
          <cell r="T188">
            <v>-0.46666666666666667</v>
          </cell>
          <cell r="U188">
            <v>-0.5106382978723405</v>
          </cell>
          <cell r="V188">
            <v>-0.45936395759717319</v>
          </cell>
          <cell r="W188">
            <v>-0.37366548042704628</v>
          </cell>
          <cell r="X188">
            <v>-0.31521739130434778</v>
          </cell>
          <cell r="Y188">
            <v>-4.3165467625899234E-2</v>
          </cell>
          <cell r="Z188">
            <v>-4.6099290780141855E-2</v>
          </cell>
          <cell r="AA188">
            <v>-6.0402684563758413E-2</v>
          </cell>
          <cell r="AB188">
            <v>-0.20134228187919467</v>
          </cell>
        </row>
        <row r="189">
          <cell r="C189" t="str">
            <v>Serbia</v>
          </cell>
          <cell r="D189">
            <v>8.4260731319554916E-2</v>
          </cell>
          <cell r="E189">
            <v>0.10000000000000009</v>
          </cell>
          <cell r="F189">
            <v>0.1172291296625223</v>
          </cell>
          <cell r="G189">
            <v>0.10225303292894283</v>
          </cell>
          <cell r="H189">
            <v>0.10000000000000009</v>
          </cell>
          <cell r="I189">
            <v>9.7938144329897003E-2</v>
          </cell>
          <cell r="J189">
            <v>0.12062937062937062</v>
          </cell>
          <cell r="K189">
            <v>0.11418685121107264</v>
          </cell>
          <cell r="L189">
            <v>0.11226252158894656</v>
          </cell>
          <cell r="M189">
            <v>9.5155709342560568E-2</v>
          </cell>
          <cell r="N189">
            <v>-3.3898305084745228E-3</v>
          </cell>
          <cell r="O189">
            <v>-0.82274247491638797</v>
          </cell>
          <cell r="P189">
            <v>-0.86196769456681355</v>
          </cell>
          <cell r="Q189">
            <v>-0.86271676300578037</v>
          </cell>
          <cell r="R189">
            <v>-0.4859550561797753</v>
          </cell>
          <cell r="S189">
            <v>-0.56118143459915615</v>
          </cell>
          <cell r="T189">
            <v>-0.5</v>
          </cell>
          <cell r="U189">
            <v>-0.73305084745762716</v>
          </cell>
          <cell r="V189">
            <v>-0.36984352773826457</v>
          </cell>
          <cell r="W189">
            <v>-0.2573839662447257</v>
          </cell>
          <cell r="X189">
            <v>-0.24797843665768193</v>
          </cell>
          <cell r="Y189">
            <v>4.1994750656167978E-2</v>
          </cell>
          <cell r="Z189">
            <v>6.7499999999999893E-2</v>
          </cell>
          <cell r="AA189">
            <v>4.6208530805687209E-2</v>
          </cell>
          <cell r="AB189">
            <v>-0.1125143513203215</v>
          </cell>
        </row>
        <row r="190">
          <cell r="C190" t="str">
            <v>Seychelles</v>
          </cell>
          <cell r="D190">
            <v>0.293193717277487</v>
          </cell>
          <cell r="E190">
            <v>0.22872340425531923</v>
          </cell>
          <cell r="F190">
            <v>0.23835616438356166</v>
          </cell>
          <cell r="G190">
            <v>0.31652661064425769</v>
          </cell>
          <cell r="H190">
            <v>0.1333333333333333</v>
          </cell>
          <cell r="I190">
            <v>0.13513513513513509</v>
          </cell>
          <cell r="J190">
            <v>0.16545012165450124</v>
          </cell>
          <cell r="K190">
            <v>0.21914357682619645</v>
          </cell>
          <cell r="L190">
            <v>0.18844221105527637</v>
          </cell>
          <cell r="M190">
            <v>9.5854922279792643E-2</v>
          </cell>
          <cell r="N190">
            <v>4.6798029556650356E-2</v>
          </cell>
          <cell r="O190">
            <v>-0.67839195979899491</v>
          </cell>
          <cell r="P190">
            <v>-0.92288557213930345</v>
          </cell>
          <cell r="Q190">
            <v>-0.95901639344262291</v>
          </cell>
          <cell r="R190">
            <v>-1</v>
          </cell>
          <cell r="S190">
            <v>-1</v>
          </cell>
          <cell r="T190">
            <v>-0.99266503667481665</v>
          </cell>
          <cell r="U190">
            <v>-0.93350383631713552</v>
          </cell>
          <cell r="V190">
            <v>-0.88400000000000001</v>
          </cell>
          <cell r="W190">
            <v>-0.82426778242677823</v>
          </cell>
          <cell r="X190">
            <v>-0.69946808510638303</v>
          </cell>
          <cell r="Y190">
            <v>0.30666666666666664</v>
          </cell>
          <cell r="Z190">
            <v>0.24936386768447827</v>
          </cell>
          <cell r="AA190">
            <v>1.0309278350515427E-2</v>
          </cell>
          <cell r="AB190">
            <v>-0.15573770491803274</v>
          </cell>
        </row>
        <row r="191">
          <cell r="C191" t="str">
            <v>Sierra Leone</v>
          </cell>
          <cell r="D191">
            <v>-1.3157894736842146E-2</v>
          </cell>
          <cell r="E191">
            <v>-0.12048192771084343</v>
          </cell>
          <cell r="F191">
            <v>5.7971014492753659E-2</v>
          </cell>
          <cell r="G191">
            <v>5.7971014492753659E-2</v>
          </cell>
          <cell r="H191">
            <v>0.10769230769230775</v>
          </cell>
          <cell r="I191">
            <v>0.10769230769230775</v>
          </cell>
          <cell r="J191">
            <v>0.10769230769230775</v>
          </cell>
          <cell r="K191">
            <v>0</v>
          </cell>
          <cell r="L191">
            <v>1.4705882352941124E-2</v>
          </cell>
          <cell r="M191">
            <v>1.4705882352941124E-2</v>
          </cell>
          <cell r="N191">
            <v>-5.8823529411764719E-2</v>
          </cell>
          <cell r="O191">
            <v>-0.52941176470588236</v>
          </cell>
          <cell r="P191">
            <v>-0.88235294117647056</v>
          </cell>
          <cell r="Q191">
            <v>-0.89855072463768115</v>
          </cell>
          <cell r="R191">
            <v>-0.95238095238095233</v>
          </cell>
          <cell r="S191">
            <v>-0.93650793650793651</v>
          </cell>
          <cell r="T191">
            <v>-0.90163934426229508</v>
          </cell>
          <cell r="U191">
            <v>-0.93846153846153846</v>
          </cell>
          <cell r="V191">
            <v>-0.890625</v>
          </cell>
          <cell r="W191">
            <v>-0.703125</v>
          </cell>
          <cell r="X191">
            <v>-0.62903225806451613</v>
          </cell>
          <cell r="Y191">
            <v>-0.43548387096774188</v>
          </cell>
          <cell r="Z191">
            <v>-0.4375</v>
          </cell>
          <cell r="AA191">
            <v>-0.35384615384615381</v>
          </cell>
          <cell r="AB191">
            <v>-0.21875</v>
          </cell>
        </row>
        <row r="192">
          <cell r="C192" t="str">
            <v>Singapore</v>
          </cell>
          <cell r="D192">
            <v>-1.0504739943633101E-2</v>
          </cell>
          <cell r="E192">
            <v>-1.2899896800825372E-3</v>
          </cell>
          <cell r="F192">
            <v>1.177675371223752E-2</v>
          </cell>
          <cell r="G192">
            <v>-2.7652086475615789E-3</v>
          </cell>
          <cell r="H192">
            <v>-8.1804660386712968E-2</v>
          </cell>
          <cell r="I192">
            <v>-0.15429146740498367</v>
          </cell>
          <cell r="J192">
            <v>-0.18523217457498098</v>
          </cell>
          <cell r="K192">
            <v>-0.22418200408997957</v>
          </cell>
          <cell r="L192">
            <v>-0.25412371134020617</v>
          </cell>
          <cell r="M192">
            <v>-0.35657523711868755</v>
          </cell>
          <cell r="N192">
            <v>-0.35493412207582686</v>
          </cell>
          <cell r="O192">
            <v>-0.76935527380631241</v>
          </cell>
          <cell r="P192">
            <v>-0.90796887577139795</v>
          </cell>
          <cell r="Q192">
            <v>-0.89887339055793991</v>
          </cell>
          <cell r="R192">
            <v>-0.92474558114622385</v>
          </cell>
          <cell r="S192">
            <v>-0.97102604997341835</v>
          </cell>
          <cell r="T192">
            <v>-0.95858773559861954</v>
          </cell>
          <cell r="U192">
            <v>-0.97005988023952094</v>
          </cell>
          <cell r="V192">
            <v>-0.88487831555920149</v>
          </cell>
          <cell r="W192">
            <v>-0.62207084468664853</v>
          </cell>
          <cell r="X192">
            <v>-0.58828293736501081</v>
          </cell>
          <cell r="Y192">
            <v>-0.15514958962139269</v>
          </cell>
          <cell r="Z192">
            <v>-0.14463246959280807</v>
          </cell>
          <cell r="AA192">
            <v>-0.12659914712153519</v>
          </cell>
          <cell r="AB192">
            <v>-0.24530327428878151</v>
          </cell>
        </row>
        <row r="193">
          <cell r="C193" t="str">
            <v>Slovakia</v>
          </cell>
          <cell r="D193">
            <v>-0.13924050632911389</v>
          </cell>
          <cell r="E193">
            <v>-7.3529411764705843E-2</v>
          </cell>
          <cell r="F193">
            <v>-8.0291970802919721E-2</v>
          </cell>
          <cell r="G193">
            <v>-8.7591240875912413E-2</v>
          </cell>
          <cell r="H193">
            <v>-5.1094890510948954E-2</v>
          </cell>
          <cell r="I193">
            <v>-5.7971014492753659E-2</v>
          </cell>
          <cell r="J193">
            <v>-6.4748201438848962E-2</v>
          </cell>
          <cell r="K193">
            <v>-6.4285714285714279E-2</v>
          </cell>
          <cell r="L193">
            <v>-5.7553956834532349E-2</v>
          </cell>
          <cell r="M193">
            <v>-5.1470588235294157E-2</v>
          </cell>
          <cell r="N193">
            <v>-0.28676470588235292</v>
          </cell>
          <cell r="O193">
            <v>-0.71851851851851856</v>
          </cell>
          <cell r="P193">
            <v>-0.78666666666666663</v>
          </cell>
          <cell r="Q193">
            <v>-0.76821192052980136</v>
          </cell>
          <cell r="R193">
            <v>-0.77419354838709675</v>
          </cell>
          <cell r="S193">
            <v>-0.91194968553459121</v>
          </cell>
          <cell r="T193">
            <v>-0.79617834394904463</v>
          </cell>
          <cell r="U193">
            <v>-0.43396226415094341</v>
          </cell>
          <cell r="V193">
            <v>-0.41772151898734178</v>
          </cell>
          <cell r="W193">
            <v>-0.32499999999999996</v>
          </cell>
          <cell r="X193">
            <v>-0.35672514619883045</v>
          </cell>
          <cell r="Y193">
            <v>-0.12077294685990336</v>
          </cell>
          <cell r="Z193">
            <v>-0.15833333333333333</v>
          </cell>
          <cell r="AA193">
            <v>-0.17200000000000004</v>
          </cell>
          <cell r="AB193">
            <v>-0.33085501858736055</v>
          </cell>
        </row>
        <row r="194">
          <cell r="C194" t="str">
            <v>Slovenia</v>
          </cell>
          <cell r="D194">
            <v>-0.49289099526066349</v>
          </cell>
          <cell r="E194">
            <v>-0.49275362318840576</v>
          </cell>
          <cell r="F194">
            <v>-0.48792270531400961</v>
          </cell>
          <cell r="G194">
            <v>-0.5</v>
          </cell>
          <cell r="H194">
            <v>-0.47826086956521741</v>
          </cell>
          <cell r="I194">
            <v>-0.43902439024390238</v>
          </cell>
          <cell r="J194">
            <v>-0.43689320388349517</v>
          </cell>
          <cell r="K194">
            <v>-0.43961352657004826</v>
          </cell>
          <cell r="L194">
            <v>-0.44711538461538458</v>
          </cell>
          <cell r="M194">
            <v>-0.44444444444444442</v>
          </cell>
          <cell r="N194">
            <v>-0.50717703349282295</v>
          </cell>
          <cell r="O194">
            <v>-0.93427230046948351</v>
          </cell>
          <cell r="P194">
            <v>-0.963963963963964</v>
          </cell>
          <cell r="Q194">
            <v>-0.98275862068965514</v>
          </cell>
          <cell r="R194">
            <v>-0.91249999999999998</v>
          </cell>
          <cell r="S194">
            <v>-0.92561983471074383</v>
          </cell>
          <cell r="T194">
            <v>-0.92213114754098358</v>
          </cell>
          <cell r="U194">
            <v>-0.96265560165975106</v>
          </cell>
          <cell r="V194">
            <v>-0.9</v>
          </cell>
          <cell r="W194">
            <v>-0.78059071729957807</v>
          </cell>
          <cell r="X194">
            <v>-0.73553719008264462</v>
          </cell>
          <cell r="Y194">
            <v>-0.43089430894308944</v>
          </cell>
          <cell r="Z194">
            <v>-0.41803278688524592</v>
          </cell>
          <cell r="AA194">
            <v>-0.42800000000000005</v>
          </cell>
          <cell r="AB194">
            <v>-0.50819672131147542</v>
          </cell>
        </row>
        <row r="195">
          <cell r="C195" t="str">
            <v>Solomon Islands</v>
          </cell>
          <cell r="D195">
            <v>3.5587188612099752E-2</v>
          </cell>
          <cell r="E195">
            <v>-3.4602076124568004E-3</v>
          </cell>
          <cell r="F195">
            <v>3.007518796992481E-2</v>
          </cell>
          <cell r="G195">
            <v>4.1198501872659277E-2</v>
          </cell>
          <cell r="H195">
            <v>2.9197080291970767E-2</v>
          </cell>
          <cell r="I195">
            <v>1.8181818181818077E-2</v>
          </cell>
          <cell r="J195">
            <v>-7.241379310344831E-2</v>
          </cell>
          <cell r="K195">
            <v>5.2238805970149294E-2</v>
          </cell>
          <cell r="L195">
            <v>9.3385214007781991E-2</v>
          </cell>
          <cell r="M195">
            <v>0</v>
          </cell>
          <cell r="N195">
            <v>4.4444444444444509E-2</v>
          </cell>
          <cell r="O195">
            <v>0</v>
          </cell>
          <cell r="P195">
            <v>-0.44290657439446368</v>
          </cell>
          <cell r="Q195">
            <v>-0.43859649122807021</v>
          </cell>
          <cell r="R195">
            <v>-0.50915750915750912</v>
          </cell>
          <cell r="S195">
            <v>-0.61130742049469966</v>
          </cell>
          <cell r="T195">
            <v>-0.61209964412811391</v>
          </cell>
          <cell r="U195">
            <v>-0.6021897810218978</v>
          </cell>
          <cell r="V195">
            <v>-0.6072727272727273</v>
          </cell>
          <cell r="W195">
            <v>-0.62056737588652489</v>
          </cell>
          <cell r="X195">
            <v>-0.60931899641577059</v>
          </cell>
          <cell r="Y195">
            <v>-0.57454545454545447</v>
          </cell>
          <cell r="Z195">
            <v>-0.57400722021660644</v>
          </cell>
          <cell r="AA195">
            <v>-0.57801418439716312</v>
          </cell>
          <cell r="AB195">
            <v>-0.57651245551601416</v>
          </cell>
        </row>
        <row r="196">
          <cell r="C196" t="str">
            <v>Somalia</v>
          </cell>
          <cell r="D196">
            <v>-0.32738095238095233</v>
          </cell>
          <cell r="E196">
            <v>-0.31515151515151518</v>
          </cell>
          <cell r="F196">
            <v>-0.31952662721893488</v>
          </cell>
          <cell r="G196">
            <v>-0.32544378698224852</v>
          </cell>
          <cell r="H196">
            <v>-0.39247311827956988</v>
          </cell>
          <cell r="I196">
            <v>-0.39247311827956988</v>
          </cell>
          <cell r="J196">
            <v>-0.39247311827956988</v>
          </cell>
          <cell r="K196">
            <v>-0.40837696335078533</v>
          </cell>
          <cell r="L196">
            <v>-0.42105263157894735</v>
          </cell>
          <cell r="M196">
            <v>-0.4263157894736842</v>
          </cell>
          <cell r="N196">
            <v>-0.40526315789473688</v>
          </cell>
          <cell r="O196">
            <v>-0.56756756756756754</v>
          </cell>
          <cell r="P196">
            <v>-0.6707317073170731</v>
          </cell>
          <cell r="Q196">
            <v>-0.65</v>
          </cell>
          <cell r="R196">
            <v>-0.65476190476190477</v>
          </cell>
          <cell r="S196">
            <v>-0.67261904761904767</v>
          </cell>
          <cell r="T196">
            <v>-0.55089820359281438</v>
          </cell>
          <cell r="U196">
            <v>-0.6706586826347305</v>
          </cell>
          <cell r="V196">
            <v>-0.60606060606060608</v>
          </cell>
          <cell r="W196">
            <v>-0.44252873563218387</v>
          </cell>
          <cell r="X196">
            <v>-0.37356321839080464</v>
          </cell>
          <cell r="Y196">
            <v>-0.18633540372670809</v>
          </cell>
          <cell r="Z196">
            <v>-0.18633540372670809</v>
          </cell>
          <cell r="AA196">
            <v>-0.18633540372670809</v>
          </cell>
          <cell r="AB196">
            <v>-0.32298136645962738</v>
          </cell>
        </row>
        <row r="197">
          <cell r="C197" t="str">
            <v>South Africa</v>
          </cell>
          <cell r="D197">
            <v>-6.3918889133788293E-3</v>
          </cell>
          <cell r="E197">
            <v>-6.5609385183575952E-2</v>
          </cell>
          <cell r="F197">
            <v>-0.11585496674533358</v>
          </cell>
          <cell r="G197">
            <v>-0.11273265651438236</v>
          </cell>
          <cell r="H197">
            <v>-8.3673908367390859E-2</v>
          </cell>
          <cell r="I197">
            <v>-9.9192863211554849E-2</v>
          </cell>
          <cell r="J197">
            <v>-9.5787898225358159E-2</v>
          </cell>
          <cell r="K197">
            <v>-0.11162594776748103</v>
          </cell>
          <cell r="L197">
            <v>-0.1463771142200877</v>
          </cell>
          <cell r="M197">
            <v>-0.15905804585829375</v>
          </cell>
          <cell r="N197">
            <v>-0.12199828473413377</v>
          </cell>
          <cell r="O197">
            <v>-0.35169210351692104</v>
          </cell>
          <cell r="P197">
            <v>-0.73075191355245384</v>
          </cell>
          <cell r="Q197">
            <v>-0.74762765476728421</v>
          </cell>
          <cell r="R197">
            <v>-0.78917313841936954</v>
          </cell>
          <cell r="S197">
            <v>-0.70524899057873491</v>
          </cell>
          <cell r="T197">
            <v>-0.75283499190002312</v>
          </cell>
          <cell r="U197">
            <v>-1</v>
          </cell>
          <cell r="V197">
            <v>-0.7470976553608013</v>
          </cell>
          <cell r="W197">
            <v>-0.7273552780930761</v>
          </cell>
          <cell r="X197">
            <v>-0.70581579542883</v>
          </cell>
          <cell r="Y197">
            <v>-0.30247896292927001</v>
          </cell>
          <cell r="Z197">
            <v>-0.20251716247139584</v>
          </cell>
          <cell r="AA197">
            <v>-0.13986988847583648</v>
          </cell>
          <cell r="AB197">
            <v>-0.26459854014598538</v>
          </cell>
        </row>
        <row r="198">
          <cell r="C198" t="str">
            <v>South Sudan</v>
          </cell>
          <cell r="D198">
            <v>0.15068493150684925</v>
          </cell>
          <cell r="E198">
            <v>0.13513513513513509</v>
          </cell>
          <cell r="F198">
            <v>0.16666666666666674</v>
          </cell>
          <cell r="G198">
            <v>0.18309859154929575</v>
          </cell>
          <cell r="H198">
            <v>0.19999999999999996</v>
          </cell>
          <cell r="I198">
            <v>0.14705882352941169</v>
          </cell>
          <cell r="J198">
            <v>0.14705882352941169</v>
          </cell>
          <cell r="K198">
            <v>0.13043478260869557</v>
          </cell>
          <cell r="L198">
            <v>8.3333333333333259E-2</v>
          </cell>
          <cell r="M198">
            <v>8.8235294117646967E-2</v>
          </cell>
          <cell r="N198">
            <v>2.9411764705882248E-2</v>
          </cell>
          <cell r="O198">
            <v>-0.19047619047619047</v>
          </cell>
          <cell r="P198">
            <v>-0.5</v>
          </cell>
          <cell r="Q198">
            <v>-0.51470588235294112</v>
          </cell>
          <cell r="R198">
            <v>-0.51470588235294112</v>
          </cell>
          <cell r="S198">
            <v>-0.32835820895522383</v>
          </cell>
          <cell r="T198">
            <v>-0.37313432835820892</v>
          </cell>
          <cell r="U198">
            <v>-0.5074626865671642</v>
          </cell>
          <cell r="V198">
            <v>-0.19402985074626866</v>
          </cell>
          <cell r="W198">
            <v>0.22388059701492535</v>
          </cell>
          <cell r="X198">
            <v>0.26086956521739135</v>
          </cell>
          <cell r="Y198">
            <v>0.23611111111111116</v>
          </cell>
          <cell r="Z198">
            <v>0.25352112676056349</v>
          </cell>
          <cell r="AA198">
            <v>0.28985507246376807</v>
          </cell>
          <cell r="AB198">
            <v>0.15942028985507251</v>
          </cell>
        </row>
        <row r="199">
          <cell r="C199" t="str">
            <v>Spain</v>
          </cell>
          <cell r="D199">
            <v>-1.1450381679389277E-2</v>
          </cell>
          <cell r="E199">
            <v>-4.6234410528491643E-2</v>
          </cell>
          <cell r="F199">
            <v>-4.7848537005163561E-2</v>
          </cell>
          <cell r="G199">
            <v>-4.5121533721328322E-2</v>
          </cell>
          <cell r="H199">
            <v>-3.7981515212844874E-2</v>
          </cell>
          <cell r="I199">
            <v>-2.5298109229857091E-2</v>
          </cell>
          <cell r="J199">
            <v>5.9763544238013999E-3</v>
          </cell>
          <cell r="K199">
            <v>-1.6203265872265282E-2</v>
          </cell>
          <cell r="L199">
            <v>-1.446267999748474E-2</v>
          </cell>
          <cell r="M199">
            <v>-2.8784244413584181E-2</v>
          </cell>
          <cell r="N199">
            <v>-0.13724870400809208</v>
          </cell>
          <cell r="O199">
            <v>-0.74319090454772607</v>
          </cell>
          <cell r="P199">
            <v>-0.88484684196259145</v>
          </cell>
          <cell r="Q199">
            <v>-0.92582055739950475</v>
          </cell>
          <cell r="R199">
            <v>-0.94245055979910008</v>
          </cell>
          <cell r="S199">
            <v>-0.95061028995210384</v>
          </cell>
          <cell r="T199">
            <v>-0.94138663076684104</v>
          </cell>
          <cell r="U199">
            <v>-0.92284440801270562</v>
          </cell>
          <cell r="V199">
            <v>-0.90438165438165441</v>
          </cell>
          <cell r="W199">
            <v>-0.80282828282828289</v>
          </cell>
          <cell r="X199">
            <v>-0.77661154569759383</v>
          </cell>
          <cell r="Y199">
            <v>-0.2488980452280567</v>
          </cell>
          <cell r="Z199">
            <v>-0.23822188449848025</v>
          </cell>
          <cell r="AA199">
            <v>-0.20823701467188749</v>
          </cell>
          <cell r="AB199">
            <v>-0.32105922181514635</v>
          </cell>
        </row>
        <row r="200">
          <cell r="C200" t="str">
            <v>Sri Lanka</v>
          </cell>
          <cell r="D200">
            <v>-6.6471163245356846E-2</v>
          </cell>
          <cell r="E200">
            <v>-7.1005917159763343E-2</v>
          </cell>
          <cell r="F200">
            <v>-6.6205533596837896E-2</v>
          </cell>
          <cell r="G200">
            <v>-7.3529411764705843E-2</v>
          </cell>
          <cell r="H200">
            <v>-8.2926829268292646E-2</v>
          </cell>
          <cell r="I200">
            <v>-0.10665362035225046</v>
          </cell>
          <cell r="J200">
            <v>-0.10816125860373649</v>
          </cell>
          <cell r="K200">
            <v>-0.11504424778761058</v>
          </cell>
          <cell r="L200">
            <v>-0.12082514734774064</v>
          </cell>
          <cell r="M200">
            <v>-0.12561334641805688</v>
          </cell>
          <cell r="N200">
            <v>-0.19900990099009896</v>
          </cell>
          <cell r="O200">
            <v>-0.49404761904761907</v>
          </cell>
          <cell r="P200">
            <v>-0.52702702702702697</v>
          </cell>
          <cell r="Q200">
            <v>-0.63834196891191708</v>
          </cell>
          <cell r="R200">
            <v>-0.65866388308977042</v>
          </cell>
          <cell r="S200">
            <v>-0.64921465968586389</v>
          </cell>
          <cell r="T200">
            <v>-0.6311659192825112</v>
          </cell>
          <cell r="U200">
            <v>-0.58943577430972383</v>
          </cell>
          <cell r="V200">
            <v>-0.45777233782129745</v>
          </cell>
          <cell r="W200">
            <v>-0.15336658354114718</v>
          </cell>
          <cell r="X200">
            <v>-0.16199756394640685</v>
          </cell>
          <cell r="Y200">
            <v>-7.2904009720534679E-3</v>
          </cell>
          <cell r="Z200">
            <v>-1.0804321728691502E-2</v>
          </cell>
          <cell r="AA200">
            <v>-1.0765550239234423E-2</v>
          </cell>
          <cell r="AB200">
            <v>-0.16588235294117648</v>
          </cell>
        </row>
        <row r="201">
          <cell r="C201" t="str">
            <v>St Maarten (dutch Part)</v>
          </cell>
          <cell r="D201">
            <v>-1.7316017316017285E-2</v>
          </cell>
          <cell r="E201">
            <v>-3.3478893740902516E-2</v>
          </cell>
          <cell r="F201">
            <v>-5.0432276657060515E-2</v>
          </cell>
          <cell r="G201">
            <v>-4.692082111436946E-2</v>
          </cell>
          <cell r="H201">
            <v>-4.53879941434846E-2</v>
          </cell>
          <cell r="I201">
            <v>-5.2173913043478293E-2</v>
          </cell>
          <cell r="J201">
            <v>-5.8321479374110918E-2</v>
          </cell>
          <cell r="K201">
            <v>-4.7482014388489202E-2</v>
          </cell>
          <cell r="L201">
            <v>-5.187319884726227E-2</v>
          </cell>
          <cell r="M201">
            <v>-5.4913294797687806E-2</v>
          </cell>
          <cell r="N201">
            <v>-5.0432276657060515E-2</v>
          </cell>
          <cell r="O201">
            <v>-0.53902798232695137</v>
          </cell>
          <cell r="P201">
            <v>-0.58470764617691162</v>
          </cell>
          <cell r="Q201">
            <v>-0.5892857142857143</v>
          </cell>
          <cell r="R201">
            <v>-0.60565476190476186</v>
          </cell>
          <cell r="S201">
            <v>-0.60530191458026517</v>
          </cell>
          <cell r="T201">
            <v>-0.58751902587519034</v>
          </cell>
          <cell r="U201">
            <v>-0.58814589665653494</v>
          </cell>
          <cell r="V201">
            <v>-0.45259938837920488</v>
          </cell>
          <cell r="W201">
            <v>-0.42507645259938842</v>
          </cell>
          <cell r="X201">
            <v>-0.42922374429223742</v>
          </cell>
          <cell r="Y201">
            <v>-0.38117283950617287</v>
          </cell>
          <cell r="Z201">
            <v>-0.35703245749613599</v>
          </cell>
          <cell r="AA201">
            <v>-0.34923076923076923</v>
          </cell>
          <cell r="AB201">
            <v>-0.52849740932642486</v>
          </cell>
        </row>
        <row r="202">
          <cell r="C202" t="str">
            <v>St Vincent and the Grenadines</v>
          </cell>
          <cell r="D202">
            <v>0</v>
          </cell>
          <cell r="E202">
            <v>0</v>
          </cell>
          <cell r="F202">
            <v>0</v>
          </cell>
          <cell r="G202">
            <v>-4.4776119402985093E-2</v>
          </cell>
          <cell r="H202">
            <v>0</v>
          </cell>
          <cell r="I202">
            <v>0</v>
          </cell>
          <cell r="J202">
            <v>0</v>
          </cell>
          <cell r="K202">
            <v>1.5151515151515138E-2</v>
          </cell>
          <cell r="L202">
            <v>0</v>
          </cell>
          <cell r="M202">
            <v>1.5151515151515138E-2</v>
          </cell>
          <cell r="N202">
            <v>1.5151515151515138E-2</v>
          </cell>
          <cell r="O202">
            <v>-0.40909090909090906</v>
          </cell>
          <cell r="P202">
            <v>-0.4242424242424242</v>
          </cell>
          <cell r="Q202">
            <v>-0.5</v>
          </cell>
          <cell r="R202">
            <v>-0.82089552238805974</v>
          </cell>
          <cell r="S202">
            <v>-0.55223880597014929</v>
          </cell>
          <cell r="T202">
            <v>-0.93846153846153846</v>
          </cell>
          <cell r="U202">
            <v>-0.8307692307692307</v>
          </cell>
          <cell r="V202">
            <v>-0.43548387096774188</v>
          </cell>
          <cell r="W202">
            <v>1.6129032258064502E-2</v>
          </cell>
          <cell r="X202">
            <v>-1.6129032258064502E-2</v>
          </cell>
          <cell r="Y202">
            <v>-0.11290322580645162</v>
          </cell>
          <cell r="Z202">
            <v>-0.11290322580645162</v>
          </cell>
          <cell r="AA202">
            <v>-0.12698412698412698</v>
          </cell>
          <cell r="AB202">
            <v>-0.2615384615384615</v>
          </cell>
        </row>
        <row r="203">
          <cell r="C203" t="str">
            <v>Sudan</v>
          </cell>
          <cell r="D203">
            <v>-0.20053475935828879</v>
          </cell>
          <cell r="E203">
            <v>-0.19676549865229109</v>
          </cell>
          <cell r="F203">
            <v>-0.18528610354223429</v>
          </cell>
          <cell r="G203">
            <v>-0.18852459016393441</v>
          </cell>
          <cell r="H203">
            <v>-0.16759776536312854</v>
          </cell>
          <cell r="I203">
            <v>-0.1736694677871149</v>
          </cell>
          <cell r="J203">
            <v>-0.15819209039548021</v>
          </cell>
          <cell r="K203">
            <v>-0.1643059490084986</v>
          </cell>
          <cell r="L203">
            <v>-0.17796610169491522</v>
          </cell>
          <cell r="M203">
            <v>-0.15804597701149425</v>
          </cell>
          <cell r="N203">
            <v>-0.21902017291066278</v>
          </cell>
          <cell r="O203">
            <v>-4.5662100456621002E-2</v>
          </cell>
          <cell r="P203">
            <v>-0.15359477124183007</v>
          </cell>
          <cell r="Q203">
            <v>-0.15460526315789469</v>
          </cell>
          <cell r="R203">
            <v>-0.17049180327868851</v>
          </cell>
          <cell r="S203">
            <v>-0.22295081967213115</v>
          </cell>
          <cell r="T203">
            <v>-0.25391849529780564</v>
          </cell>
          <cell r="U203">
            <v>-0.22641509433962259</v>
          </cell>
          <cell r="V203">
            <v>-0.20615384615384613</v>
          </cell>
          <cell r="W203">
            <v>-0.12883435582822089</v>
          </cell>
          <cell r="X203">
            <v>-8.9552238805970186E-2</v>
          </cell>
          <cell r="Y203">
            <v>-5.555555555555558E-2</v>
          </cell>
          <cell r="Z203">
            <v>-3.8461538461538436E-2</v>
          </cell>
          <cell r="AA203">
            <v>-1.2158054711246202E-2</v>
          </cell>
          <cell r="AB203">
            <v>-0.10658307210031348</v>
          </cell>
        </row>
        <row r="204">
          <cell r="C204" t="str">
            <v>Suriname</v>
          </cell>
          <cell r="D204">
            <v>0.42372881355932202</v>
          </cell>
          <cell r="E204">
            <v>0.5</v>
          </cell>
          <cell r="F204">
            <v>0.58928571428571419</v>
          </cell>
          <cell r="G204">
            <v>0.62264150943396235</v>
          </cell>
          <cell r="H204">
            <v>0.64814814814814814</v>
          </cell>
          <cell r="I204">
            <v>0.66037735849056611</v>
          </cell>
          <cell r="J204">
            <v>0.7407407407407407</v>
          </cell>
          <cell r="K204">
            <v>0.62962962962962954</v>
          </cell>
          <cell r="L204">
            <v>0.70909090909090899</v>
          </cell>
          <cell r="M204">
            <v>0.75862068965517238</v>
          </cell>
          <cell r="N204">
            <v>0.7931034482758621</v>
          </cell>
          <cell r="O204">
            <v>0.5</v>
          </cell>
          <cell r="P204">
            <v>-0.53448275862068972</v>
          </cell>
          <cell r="Q204">
            <v>-0.65517241379310343</v>
          </cell>
          <cell r="R204">
            <v>-0.79661016949152541</v>
          </cell>
          <cell r="S204">
            <v>-0.81538461538461537</v>
          </cell>
          <cell r="T204">
            <v>-0.8</v>
          </cell>
          <cell r="U204">
            <v>-0.5862068965517242</v>
          </cell>
          <cell r="V204">
            <v>-0.60606060606060608</v>
          </cell>
          <cell r="W204">
            <v>-0.60606060606060608</v>
          </cell>
          <cell r="X204">
            <v>-0.6</v>
          </cell>
          <cell r="Y204">
            <v>-0.56923076923076921</v>
          </cell>
          <cell r="Z204">
            <v>-0.56923076923076921</v>
          </cell>
          <cell r="AA204">
            <v>-0.56923076923076921</v>
          </cell>
          <cell r="AB204">
            <v>-0.625</v>
          </cell>
        </row>
        <row r="205">
          <cell r="C205" t="str">
            <v>Sweden</v>
          </cell>
          <cell r="D205">
            <v>-0.13849092645654248</v>
          </cell>
          <cell r="E205">
            <v>-8.4635113079972069E-2</v>
          </cell>
          <cell r="F205">
            <v>-7.8007732544916997E-2</v>
          </cell>
          <cell r="G205">
            <v>-6.9756975697569779E-2</v>
          </cell>
          <cell r="H205">
            <v>-5.692850838481911E-2</v>
          </cell>
          <cell r="I205">
            <v>-5.4090299508270046E-2</v>
          </cell>
          <cell r="J205">
            <v>-6.4134078212290557E-2</v>
          </cell>
          <cell r="K205">
            <v>-4.9258836944127693E-2</v>
          </cell>
          <cell r="L205">
            <v>-4.7772065124250251E-2</v>
          </cell>
          <cell r="M205">
            <v>-6.3615368465252953E-2</v>
          </cell>
          <cell r="N205">
            <v>-0.14087759815242495</v>
          </cell>
          <cell r="O205">
            <v>-0.65340909090909083</v>
          </cell>
          <cell r="P205">
            <v>-0.77062538195151764</v>
          </cell>
          <cell r="Q205">
            <v>-0.84170751633986929</v>
          </cell>
          <cell r="R205">
            <v>-0.84394200049152124</v>
          </cell>
          <cell r="S205">
            <v>-0.89964866051822567</v>
          </cell>
          <cell r="T205">
            <v>-0.89791073124406462</v>
          </cell>
          <cell r="U205">
            <v>-0.88518593781751675</v>
          </cell>
          <cell r="V205">
            <v>-0.61529101602109104</v>
          </cell>
          <cell r="W205">
            <v>-0.6368410422136942</v>
          </cell>
          <cell r="X205">
            <v>-0.50659569544087013</v>
          </cell>
          <cell r="Y205">
            <v>-0.31658852422415718</v>
          </cell>
          <cell r="Z205">
            <v>-0.37027353177795652</v>
          </cell>
          <cell r="AA205">
            <v>-0.35268471776044052</v>
          </cell>
          <cell r="AB205">
            <v>-0.4447694038245219</v>
          </cell>
        </row>
        <row r="206">
          <cell r="C206" t="str">
            <v>Switzerland</v>
          </cell>
          <cell r="D206">
            <v>-4.2307692307692268E-2</v>
          </cell>
          <cell r="E206">
            <v>-6.0479921645445689E-2</v>
          </cell>
          <cell r="F206">
            <v>-5.8506731946144419E-2</v>
          </cell>
          <cell r="G206">
            <v>-6.5625000000000044E-2</v>
          </cell>
          <cell r="H206">
            <v>-6.1487913635296931E-2</v>
          </cell>
          <cell r="I206">
            <v>-5.8444546709618073E-2</v>
          </cell>
          <cell r="J206">
            <v>-5.2318939913182594E-2</v>
          </cell>
          <cell r="K206">
            <v>-5.077413479052828E-2</v>
          </cell>
          <cell r="L206">
            <v>-5.1716350496838315E-2</v>
          </cell>
          <cell r="M206">
            <v>-0.11490612983487902</v>
          </cell>
          <cell r="N206">
            <v>-0.24389140271493215</v>
          </cell>
          <cell r="O206">
            <v>-0.66937669376693765</v>
          </cell>
          <cell r="P206">
            <v>-0.85010752688172042</v>
          </cell>
          <cell r="Q206">
            <v>-0.94171452882365458</v>
          </cell>
          <cell r="R206">
            <v>-0.95185342991052413</v>
          </cell>
          <cell r="S206">
            <v>-0.96070055531824006</v>
          </cell>
          <cell r="T206">
            <v>-0.96190271201033151</v>
          </cell>
          <cell r="U206">
            <v>-0.94142980189491821</v>
          </cell>
          <cell r="V206">
            <v>-0.91255411255411256</v>
          </cell>
          <cell r="W206">
            <v>-0.66349892008639311</v>
          </cell>
          <cell r="X206">
            <v>-0.64669377273699979</v>
          </cell>
          <cell r="Y206">
            <v>-0.12434472635772698</v>
          </cell>
          <cell r="Z206">
            <v>-0.12004175365344472</v>
          </cell>
          <cell r="AA206">
            <v>-0.11640430820215408</v>
          </cell>
          <cell r="AB206">
            <v>-0.24470055566989091</v>
          </cell>
        </row>
        <row r="207">
          <cell r="C207" t="str">
            <v>Syrian Arab Republic</v>
          </cell>
          <cell r="D207">
            <v>0.53488372093023262</v>
          </cell>
          <cell r="E207">
            <v>0.52380952380952372</v>
          </cell>
          <cell r="F207">
            <v>0.40909090909090917</v>
          </cell>
          <cell r="G207">
            <v>0.22727272727272729</v>
          </cell>
          <cell r="H207">
            <v>0.25</v>
          </cell>
          <cell r="I207">
            <v>0.29545454545454541</v>
          </cell>
          <cell r="J207">
            <v>-7.9365079365079416E-2</v>
          </cell>
          <cell r="K207">
            <v>-0.109375</v>
          </cell>
          <cell r="L207">
            <v>-0.171875</v>
          </cell>
          <cell r="M207">
            <v>-0.19047619047619047</v>
          </cell>
          <cell r="N207">
            <v>-0.21212121212121215</v>
          </cell>
          <cell r="O207">
            <v>-0.48275862068965514</v>
          </cell>
          <cell r="P207">
            <v>-0.76271186440677963</v>
          </cell>
          <cell r="Q207">
            <v>-0.74193548387096775</v>
          </cell>
          <cell r="R207">
            <v>-0.73333333333333339</v>
          </cell>
          <cell r="S207">
            <v>-0.74193548387096775</v>
          </cell>
          <cell r="T207">
            <v>-0.74193548387096775</v>
          </cell>
          <cell r="U207">
            <v>-0.88709677419354838</v>
          </cell>
          <cell r="V207">
            <v>-0.88524590163934425</v>
          </cell>
          <cell r="W207">
            <v>-0.88709677419354838</v>
          </cell>
          <cell r="X207">
            <v>-0.88709677419354838</v>
          </cell>
          <cell r="Y207">
            <v>-0.77272727272727271</v>
          </cell>
          <cell r="Z207">
            <v>-0.78873239436619724</v>
          </cell>
          <cell r="AA207">
            <v>-0.71875</v>
          </cell>
          <cell r="AB207">
            <v>-0.69230769230769229</v>
          </cell>
        </row>
        <row r="208">
          <cell r="C208" t="str">
            <v>Tajikistan</v>
          </cell>
          <cell r="D208">
            <v>3.7974683544303778E-2</v>
          </cell>
          <cell r="E208">
            <v>2.4691358024691468E-2</v>
          </cell>
          <cell r="F208">
            <v>2.4390243902439046E-2</v>
          </cell>
          <cell r="G208">
            <v>-2.352941176470591E-2</v>
          </cell>
          <cell r="H208">
            <v>0.14189189189189189</v>
          </cell>
          <cell r="I208">
            <v>3.7037037037036979E-2</v>
          </cell>
          <cell r="J208">
            <v>4.9382716049382713E-2</v>
          </cell>
          <cell r="K208">
            <v>0.10126582278481022</v>
          </cell>
          <cell r="L208">
            <v>5.555555555555558E-2</v>
          </cell>
          <cell r="M208">
            <v>6.211180124223592E-2</v>
          </cell>
          <cell r="N208">
            <v>3.105590062111796E-2</v>
          </cell>
          <cell r="O208">
            <v>-0.22516556291390732</v>
          </cell>
          <cell r="P208">
            <v>-0.65306122448979598</v>
          </cell>
          <cell r="Q208">
            <v>-0.64335664335664333</v>
          </cell>
          <cell r="R208">
            <v>-0.64084507042253525</v>
          </cell>
          <cell r="S208">
            <v>-0.64084507042253525</v>
          </cell>
          <cell r="T208">
            <v>-0.59558823529411764</v>
          </cell>
          <cell r="U208">
            <v>-0.59124087591240881</v>
          </cell>
          <cell r="V208">
            <v>-0.56153846153846154</v>
          </cell>
          <cell r="W208">
            <v>-0.53488372093023262</v>
          </cell>
          <cell r="X208">
            <v>-0.4</v>
          </cell>
          <cell r="Y208">
            <v>0.2773109243697478</v>
          </cell>
          <cell r="Z208">
            <v>0.37288135593220328</v>
          </cell>
          <cell r="AA208">
            <v>0.31707317073170738</v>
          </cell>
          <cell r="AB208">
            <v>0.14999999999999991</v>
          </cell>
        </row>
        <row r="209">
          <cell r="C209" t="str">
            <v>Tanzania United Republic of</v>
          </cell>
          <cell r="D209">
            <v>-0.17722140402552777</v>
          </cell>
          <cell r="E209">
            <v>-0.16516966067864269</v>
          </cell>
          <cell r="F209">
            <v>-0.15603730778926139</v>
          </cell>
          <cell r="G209">
            <v>-0.14355544121430408</v>
          </cell>
          <cell r="H209">
            <v>-0.15269922879177378</v>
          </cell>
          <cell r="I209">
            <v>-0.14851228978007758</v>
          </cell>
          <cell r="J209">
            <v>-0.11724137931034484</v>
          </cell>
          <cell r="K209">
            <v>-0.11844197138314783</v>
          </cell>
          <cell r="L209">
            <v>-0.10055423594615998</v>
          </cell>
          <cell r="M209">
            <v>-6.2334918119387184E-2</v>
          </cell>
          <cell r="N209">
            <v>-7.6536016949152574E-2</v>
          </cell>
          <cell r="O209">
            <v>-0.10391686650679455</v>
          </cell>
          <cell r="P209">
            <v>-0.21092896174863385</v>
          </cell>
          <cell r="Q209">
            <v>-0.23842148533844887</v>
          </cell>
          <cell r="R209">
            <v>-0.24394887136252374</v>
          </cell>
          <cell r="S209">
            <v>-0.25580125580125579</v>
          </cell>
          <cell r="T209">
            <v>-0.25328587075575026</v>
          </cell>
          <cell r="U209">
            <v>-0.37695045168354779</v>
          </cell>
          <cell r="V209">
            <v>-0.41045918367346934</v>
          </cell>
          <cell r="W209">
            <v>-0.37298865734634656</v>
          </cell>
          <cell r="X209">
            <v>-0.34556244942001624</v>
          </cell>
          <cell r="Y209">
            <v>-0.24080362195812111</v>
          </cell>
          <cell r="Z209">
            <v>-0.24394366197183104</v>
          </cell>
          <cell r="AA209">
            <v>-0.24363636363636365</v>
          </cell>
          <cell r="AB209">
            <v>-0.34818941504178269</v>
          </cell>
        </row>
        <row r="210">
          <cell r="C210" t="str">
            <v>Thailand</v>
          </cell>
          <cell r="D210">
            <v>-4.5915107256960241E-2</v>
          </cell>
          <cell r="E210">
            <v>-3.7716894977168902E-2</v>
          </cell>
          <cell r="F210">
            <v>-3.590208522212146E-2</v>
          </cell>
          <cell r="G210">
            <v>-4.2568477772788493E-2</v>
          </cell>
          <cell r="H210">
            <v>-0.10054469149031164</v>
          </cell>
          <cell r="I210">
            <v>-0.1125851885506588</v>
          </cell>
          <cell r="J210">
            <v>-0.13448747152619589</v>
          </cell>
          <cell r="K210">
            <v>-0.14423607280750139</v>
          </cell>
          <cell r="L210">
            <v>-0.15448890539411386</v>
          </cell>
          <cell r="M210">
            <v>-0.27379957276864497</v>
          </cell>
          <cell r="N210">
            <v>-0.31754926683478102</v>
          </cell>
          <cell r="O210">
            <v>-0.42010260307809233</v>
          </cell>
          <cell r="P210">
            <v>-0.69135561836078363</v>
          </cell>
          <cell r="Q210">
            <v>-0.92909511865714833</v>
          </cell>
          <cell r="R210">
            <v>-0.94807321772639697</v>
          </cell>
          <cell r="S210">
            <v>-0.95333009236752553</v>
          </cell>
          <cell r="T210">
            <v>-0.89671314741035857</v>
          </cell>
          <cell r="U210">
            <v>-0.90651271143522738</v>
          </cell>
          <cell r="V210">
            <v>-0.89519338708031437</v>
          </cell>
          <cell r="W210">
            <v>-0.84770321652450931</v>
          </cell>
          <cell r="X210">
            <v>-0.84492635024549911</v>
          </cell>
          <cell r="Y210">
            <v>-0.44203562340966918</v>
          </cell>
          <cell r="Z210">
            <v>-0.44173331983395769</v>
          </cell>
          <cell r="AA210">
            <v>-0.43041184824508016</v>
          </cell>
          <cell r="AB210">
            <v>-0.50914634146341464</v>
          </cell>
        </row>
        <row r="211">
          <cell r="C211" t="str">
            <v>Timor-leste</v>
          </cell>
          <cell r="D211">
            <v>8.0000000000000071E-2</v>
          </cell>
          <cell r="E211">
            <v>8.0000000000000071E-2</v>
          </cell>
          <cell r="F211">
            <v>8.0000000000000071E-2</v>
          </cell>
          <cell r="G211">
            <v>4.0000000000000036E-2</v>
          </cell>
          <cell r="H211">
            <v>4.0000000000000036E-2</v>
          </cell>
          <cell r="I211">
            <v>4.0000000000000036E-2</v>
          </cell>
          <cell r="J211">
            <v>4.0000000000000036E-2</v>
          </cell>
          <cell r="K211">
            <v>4.0000000000000036E-2</v>
          </cell>
          <cell r="L211">
            <v>8.0000000000000071E-2</v>
          </cell>
          <cell r="M211">
            <v>0.19999999999999996</v>
          </cell>
          <cell r="N211">
            <v>0.19999999999999996</v>
          </cell>
          <cell r="O211">
            <v>0.15999999999999992</v>
          </cell>
          <cell r="P211">
            <v>-0.375</v>
          </cell>
          <cell r="Q211">
            <v>-0.25</v>
          </cell>
          <cell r="R211">
            <v>-0.43999999999999995</v>
          </cell>
          <cell r="S211">
            <v>-0.43999999999999995</v>
          </cell>
          <cell r="T211">
            <v>-0.4</v>
          </cell>
          <cell r="U211">
            <v>-0.38461538461538458</v>
          </cell>
          <cell r="V211">
            <v>-0.19999999999999996</v>
          </cell>
          <cell r="W211">
            <v>-0.19999999999999996</v>
          </cell>
          <cell r="X211">
            <v>-0.19999999999999996</v>
          </cell>
          <cell r="Y211">
            <v>-0.19230769230769229</v>
          </cell>
          <cell r="Z211">
            <v>-0.26923076923076927</v>
          </cell>
          <cell r="AA211">
            <v>-0.26923076923076927</v>
          </cell>
          <cell r="AB211">
            <v>-0.40740740740740744</v>
          </cell>
        </row>
        <row r="212">
          <cell r="C212" t="str">
            <v>Togo</v>
          </cell>
          <cell r="D212">
            <v>2.2598870056497189E-2</v>
          </cell>
          <cell r="E212">
            <v>-2.1390374331550777E-2</v>
          </cell>
          <cell r="F212">
            <v>-3.6842105263157898E-2</v>
          </cell>
          <cell r="G212">
            <v>-1.5463917525773141E-2</v>
          </cell>
          <cell r="H212">
            <v>2.1857923497267784E-2</v>
          </cell>
          <cell r="I212">
            <v>7.909604519774005E-2</v>
          </cell>
          <cell r="J212">
            <v>6.1797752808988804E-2</v>
          </cell>
          <cell r="K212">
            <v>8.5227272727272707E-2</v>
          </cell>
          <cell r="L212">
            <v>2.7173913043478271E-2</v>
          </cell>
          <cell r="M212">
            <v>5.3475935828877219E-3</v>
          </cell>
          <cell r="N212">
            <v>5.3763440860215006E-3</v>
          </cell>
          <cell r="O212">
            <v>-0.40883977900552482</v>
          </cell>
          <cell r="P212">
            <v>-0.83243243243243237</v>
          </cell>
          <cell r="Q212">
            <v>-0.80645161290322576</v>
          </cell>
          <cell r="R212">
            <v>-0.83606557377049184</v>
          </cell>
          <cell r="S212">
            <v>-0.86559139784946237</v>
          </cell>
          <cell r="T212">
            <v>-0.52406417112299464</v>
          </cell>
          <cell r="U212">
            <v>-0.88372093023255816</v>
          </cell>
          <cell r="V212">
            <v>-0.54022988505747127</v>
          </cell>
          <cell r="W212">
            <v>-5.8479532163743242E-3</v>
          </cell>
          <cell r="X212">
            <v>-5.8479532163743242E-3</v>
          </cell>
          <cell r="Y212">
            <v>1.6574585635359185E-2</v>
          </cell>
          <cell r="Z212">
            <v>5.3763440860215006E-3</v>
          </cell>
          <cell r="AA212">
            <v>4.2105263157894646E-2</v>
          </cell>
          <cell r="AB212">
            <v>-0.12244897959183676</v>
          </cell>
        </row>
        <row r="213">
          <cell r="C213" t="str">
            <v>Tonga</v>
          </cell>
          <cell r="D213">
            <v>-0.54263565891472876</v>
          </cell>
          <cell r="E213">
            <v>-0.50387596899224807</v>
          </cell>
          <cell r="F213">
            <v>-0.48837209302325579</v>
          </cell>
          <cell r="G213">
            <v>1.5503875968992276E-2</v>
          </cell>
          <cell r="H213">
            <v>-0.10416666666666663</v>
          </cell>
          <cell r="I213">
            <v>-0.10416666666666663</v>
          </cell>
          <cell r="J213">
            <v>-0.11111111111111116</v>
          </cell>
          <cell r="K213">
            <v>-0.11111111111111116</v>
          </cell>
          <cell r="L213">
            <v>-0.11188811188811187</v>
          </cell>
          <cell r="M213">
            <v>-0.2068965517241379</v>
          </cell>
          <cell r="N213">
            <v>-7.999999999999996E-2</v>
          </cell>
          <cell r="O213">
            <v>-0.12</v>
          </cell>
          <cell r="P213">
            <v>-0.13636363636363635</v>
          </cell>
          <cell r="Q213">
            <v>-0.11111111111111116</v>
          </cell>
          <cell r="R213">
            <v>-0.99259259259259258</v>
          </cell>
          <cell r="S213">
            <v>-0.99259259259259258</v>
          </cell>
          <cell r="T213">
            <v>-0.9907407407407407</v>
          </cell>
          <cell r="U213">
            <v>0.11111111111111116</v>
          </cell>
          <cell r="V213">
            <v>0.11111111111111116</v>
          </cell>
          <cell r="W213">
            <v>0.11111111111111116</v>
          </cell>
          <cell r="X213">
            <v>8.1081081081081141E-2</v>
          </cell>
          <cell r="Y213">
            <v>7.7586206896551824E-2</v>
          </cell>
          <cell r="Z213">
            <v>7.7586206896551824E-2</v>
          </cell>
          <cell r="AA213">
            <v>0.15483870967741931</v>
          </cell>
          <cell r="AB213">
            <v>0.15286624203821653</v>
          </cell>
        </row>
        <row r="214">
          <cell r="C214" t="str">
            <v>Trinidad and Tobago</v>
          </cell>
          <cell r="D214">
            <v>2.6936026936027035E-2</v>
          </cell>
          <cell r="E214">
            <v>-5.227655986509272E-2</v>
          </cell>
          <cell r="F214">
            <v>-4.5840407470288613E-2</v>
          </cell>
          <cell r="G214">
            <v>-4.5840407470288613E-2</v>
          </cell>
          <cell r="H214">
            <v>-1.8771331058020424E-2</v>
          </cell>
          <cell r="I214">
            <v>-6.8027210884353817E-3</v>
          </cell>
          <cell r="J214">
            <v>3.7225042301184397E-2</v>
          </cell>
          <cell r="K214">
            <v>5.0167224080267525E-2</v>
          </cell>
          <cell r="L214">
            <v>-3.4257748776509001E-2</v>
          </cell>
          <cell r="M214">
            <v>-3.68509212730318E-2</v>
          </cell>
          <cell r="N214">
            <v>-2.2071307300509324E-2</v>
          </cell>
          <cell r="O214">
            <v>-0.11794871794871797</v>
          </cell>
          <cell r="P214">
            <v>-0.57435897435897432</v>
          </cell>
          <cell r="Q214">
            <v>-0.93367346938775508</v>
          </cell>
          <cell r="R214">
            <v>-0.97685950413223144</v>
          </cell>
          <cell r="S214">
            <v>-0.97935103244837762</v>
          </cell>
          <cell r="T214">
            <v>-0.75491679273827539</v>
          </cell>
          <cell r="U214">
            <v>-0.62518740629685166</v>
          </cell>
          <cell r="V214">
            <v>-0.31029185867895548</v>
          </cell>
          <cell r="W214">
            <v>-0.23609022556390979</v>
          </cell>
          <cell r="X214">
            <v>-0.21020092735703244</v>
          </cell>
          <cell r="Y214">
            <v>-0.2015037593984963</v>
          </cell>
          <cell r="Z214">
            <v>-0.16488549618320614</v>
          </cell>
          <cell r="AA214">
            <v>-0.17333333333333334</v>
          </cell>
          <cell r="AB214">
            <v>-0.29129129129129128</v>
          </cell>
        </row>
        <row r="215">
          <cell r="C215" t="str">
            <v>Tunisia</v>
          </cell>
          <cell r="D215">
            <v>2.8400597907324299E-2</v>
          </cell>
          <cell r="E215">
            <v>-1.1006289308176154E-2</v>
          </cell>
          <cell r="F215">
            <v>-3.1746031746031633E-3</v>
          </cell>
          <cell r="G215">
            <v>-2.8875379939209744E-2</v>
          </cell>
          <cell r="H215">
            <v>-3.0581039755351869E-3</v>
          </cell>
          <cell r="I215">
            <v>-1.6224188790560423E-2</v>
          </cell>
          <cell r="J215">
            <v>1.9259259259259309E-2</v>
          </cell>
          <cell r="K215">
            <v>-5.9084194977843119E-3</v>
          </cell>
          <cell r="L215">
            <v>-3.0000000000000027E-2</v>
          </cell>
          <cell r="M215">
            <v>-7.5549450549450503E-2</v>
          </cell>
          <cell r="N215">
            <v>-0.18233618233618232</v>
          </cell>
          <cell r="O215">
            <v>-0.71673819742489275</v>
          </cell>
          <cell r="P215">
            <v>-0.62822252374491183</v>
          </cell>
          <cell r="Q215">
            <v>-0.66707616707616713</v>
          </cell>
          <cell r="R215">
            <v>-0.87560975609756098</v>
          </cell>
          <cell r="S215">
            <v>-0.56338028169014087</v>
          </cell>
          <cell r="T215">
            <v>-0.92990654205607481</v>
          </cell>
          <cell r="U215">
            <v>-0.64588859416445621</v>
          </cell>
          <cell r="V215">
            <v>-0.42836676217765046</v>
          </cell>
          <cell r="W215">
            <v>-0.38888888888888884</v>
          </cell>
          <cell r="X215">
            <v>-0.36246786632390748</v>
          </cell>
          <cell r="Y215">
            <v>-0.22941176470588232</v>
          </cell>
          <cell r="Z215">
            <v>-0.25080731969860059</v>
          </cell>
          <cell r="AA215">
            <v>-0.2191489361702128</v>
          </cell>
          <cell r="AB215">
            <v>-0.32947368421052636</v>
          </cell>
        </row>
        <row r="216">
          <cell r="C216" t="str">
            <v>Turkey</v>
          </cell>
          <cell r="D216">
            <v>-3.2157382010782221E-2</v>
          </cell>
          <cell r="E216">
            <v>-3.8797915891328638E-2</v>
          </cell>
          <cell r="F216">
            <v>-3.9594757877126074E-2</v>
          </cell>
          <cell r="G216">
            <v>-4.6859145835255078E-2</v>
          </cell>
          <cell r="H216">
            <v>-4.8087739032620869E-2</v>
          </cell>
          <cell r="I216">
            <v>-5.0188323917137456E-2</v>
          </cell>
          <cell r="J216">
            <v>-4.2200452147701628E-2</v>
          </cell>
          <cell r="K216">
            <v>-3.6434923974371203E-2</v>
          </cell>
          <cell r="L216">
            <v>-5.7594579333709817E-2</v>
          </cell>
          <cell r="M216">
            <v>-9.6704534785466145E-2</v>
          </cell>
          <cell r="N216">
            <v>-0.16892333551218597</v>
          </cell>
          <cell r="O216">
            <v>-0.57511045655375548</v>
          </cell>
          <cell r="P216">
            <v>-0.70074220682830279</v>
          </cell>
          <cell r="Q216">
            <v>-0.81491076568796772</v>
          </cell>
          <cell r="R216">
            <v>-0.97280517663518717</v>
          </cell>
          <cell r="S216">
            <v>-0.97402159244264508</v>
          </cell>
          <cell r="T216">
            <v>-0.8474085113429376</v>
          </cell>
          <cell r="U216">
            <v>-0.9734316078162496</v>
          </cell>
          <cell r="V216">
            <v>-0.96598877980364661</v>
          </cell>
          <cell r="W216">
            <v>-0.94552037723139104</v>
          </cell>
          <cell r="X216">
            <v>-0.57299843014128726</v>
          </cell>
          <cell r="Y216">
            <v>-4.7709778218123611E-2</v>
          </cell>
          <cell r="Z216">
            <v>-5.788204341153258E-2</v>
          </cell>
          <cell r="AA216">
            <v>-3.3191987132621725E-2</v>
          </cell>
          <cell r="AB216">
            <v>-0.1708546331629347</v>
          </cell>
        </row>
        <row r="217">
          <cell r="C217" t="str">
            <v>Turkmenistan</v>
          </cell>
          <cell r="D217">
            <v>6.5359477124182774E-3</v>
          </cell>
          <cell r="E217">
            <v>-3.2786885245901232E-3</v>
          </cell>
          <cell r="F217">
            <v>-2.2580645161290325E-2</v>
          </cell>
          <cell r="G217">
            <v>0</v>
          </cell>
          <cell r="H217">
            <v>3.3898305084745672E-2</v>
          </cell>
          <cell r="I217">
            <v>1.7006802721088343E-2</v>
          </cell>
          <cell r="J217">
            <v>0</v>
          </cell>
          <cell r="K217">
            <v>0</v>
          </cell>
          <cell r="L217">
            <v>-6.0000000000000053E-2</v>
          </cell>
          <cell r="M217">
            <v>-4.4673539518900296E-2</v>
          </cell>
          <cell r="N217">
            <v>-0.1084745762711864</v>
          </cell>
          <cell r="O217">
            <v>-0.18900343642611683</v>
          </cell>
          <cell r="P217">
            <v>-0.27272727272727271</v>
          </cell>
          <cell r="Q217">
            <v>-0.40277777777777779</v>
          </cell>
          <cell r="R217">
            <v>-0.40689655172413797</v>
          </cell>
          <cell r="S217">
            <v>-0.40689655172413797</v>
          </cell>
          <cell r="T217">
            <v>-0.40893470790378006</v>
          </cell>
          <cell r="U217">
            <v>-0.40893470790378006</v>
          </cell>
          <cell r="V217">
            <v>-0.40277777777777779</v>
          </cell>
          <cell r="W217">
            <v>-0.32291666666666663</v>
          </cell>
          <cell r="X217">
            <v>-0.32475884244372988</v>
          </cell>
          <cell r="Y217">
            <v>-5.6962025316455667E-2</v>
          </cell>
          <cell r="Z217">
            <v>-3.5031847133757954E-2</v>
          </cell>
          <cell r="AA217">
            <v>-5.2959501557632405E-2</v>
          </cell>
          <cell r="AB217">
            <v>-0.20625000000000004</v>
          </cell>
        </row>
        <row r="218">
          <cell r="C218" t="str">
            <v>Turks and Caicos Islands</v>
          </cell>
          <cell r="D218">
            <v>-4.692082111436946E-2</v>
          </cell>
          <cell r="E218">
            <v>-5.6047197640118007E-2</v>
          </cell>
          <cell r="F218">
            <v>-5.0147492625368773E-2</v>
          </cell>
          <cell r="G218">
            <v>-3.2352941176470584E-2</v>
          </cell>
          <cell r="H218">
            <v>-5.0000000000000044E-2</v>
          </cell>
          <cell r="I218">
            <v>2.8409090909090828E-2</v>
          </cell>
          <cell r="J218">
            <v>1.6853932584269593E-2</v>
          </cell>
          <cell r="K218">
            <v>1.4124293785310771E-2</v>
          </cell>
          <cell r="L218">
            <v>4.8022598870056443E-2</v>
          </cell>
          <cell r="M218">
            <v>-1.0958904109588996E-2</v>
          </cell>
          <cell r="N218">
            <v>4.2253521126760507E-2</v>
          </cell>
          <cell r="O218">
            <v>-2.8169014084507005E-3</v>
          </cell>
          <cell r="P218">
            <v>-0.15697674418604646</v>
          </cell>
          <cell r="Q218">
            <v>-0.29565217391304344</v>
          </cell>
          <cell r="R218">
            <v>-0.31791907514450868</v>
          </cell>
          <cell r="S218">
            <v>-0.3398876404494382</v>
          </cell>
          <cell r="T218">
            <v>-0.2735562310030395</v>
          </cell>
          <cell r="U218">
            <v>-0.26934984520123839</v>
          </cell>
          <cell r="V218">
            <v>-0.27329192546583847</v>
          </cell>
          <cell r="W218">
            <v>-0.27639751552795033</v>
          </cell>
          <cell r="X218">
            <v>-0.26729559748427678</v>
          </cell>
          <cell r="Y218">
            <v>-0.16346153846153844</v>
          </cell>
          <cell r="Z218">
            <v>-0.13141025641025639</v>
          </cell>
          <cell r="AA218">
            <v>-0.11182108626198084</v>
          </cell>
          <cell r="AB218">
            <v>-0.29705882352941182</v>
          </cell>
        </row>
        <row r="219">
          <cell r="C219" t="str">
            <v>Tuvalu</v>
          </cell>
          <cell r="D219">
            <v>0</v>
          </cell>
          <cell r="E219">
            <v>0</v>
          </cell>
          <cell r="F219">
            <v>0.25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-0.5</v>
          </cell>
          <cell r="P219">
            <v>-0.75</v>
          </cell>
          <cell r="Q219">
            <v>-0.75</v>
          </cell>
          <cell r="R219">
            <v>-0.75</v>
          </cell>
          <cell r="S219">
            <v>-0.75</v>
          </cell>
          <cell r="T219">
            <v>-0.75</v>
          </cell>
          <cell r="U219">
            <v>-0.75</v>
          </cell>
          <cell r="V219">
            <v>-0.75</v>
          </cell>
          <cell r="W219">
            <v>-0.75</v>
          </cell>
          <cell r="X219">
            <v>-0.75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</row>
        <row r="220">
          <cell r="C220" t="str">
            <v>Uganda</v>
          </cell>
          <cell r="D220">
            <v>0.36760925449871462</v>
          </cell>
          <cell r="E220">
            <v>0.37597911227154057</v>
          </cell>
          <cell r="F220">
            <v>0.39787798408488073</v>
          </cell>
          <cell r="G220">
            <v>0.40909090909090917</v>
          </cell>
          <cell r="H220">
            <v>0.43801652892561993</v>
          </cell>
          <cell r="I220">
            <v>0.41416893732970017</v>
          </cell>
          <cell r="J220">
            <v>0.4098360655737705</v>
          </cell>
          <cell r="K220">
            <v>0.36239782016348765</v>
          </cell>
          <cell r="L220">
            <v>1.3661202185792254E-2</v>
          </cell>
          <cell r="M220">
            <v>-8.1967213114754189E-3</v>
          </cell>
          <cell r="N220">
            <v>0</v>
          </cell>
          <cell r="O220">
            <v>-0.26170798898071623</v>
          </cell>
          <cell r="P220">
            <v>-0.49019607843137258</v>
          </cell>
          <cell r="Q220">
            <v>-0.53846153846153844</v>
          </cell>
          <cell r="R220">
            <v>-0.54570637119113574</v>
          </cell>
          <cell r="S220">
            <v>-0.46703296703296704</v>
          </cell>
          <cell r="T220">
            <v>-0.74931129476584024</v>
          </cell>
          <cell r="U220">
            <v>-0.79063360881542699</v>
          </cell>
          <cell r="V220">
            <v>-0.65311653116531165</v>
          </cell>
          <cell r="W220">
            <v>-0.4719101123595506</v>
          </cell>
          <cell r="X220">
            <v>-0.45153061224489799</v>
          </cell>
          <cell r="Y220">
            <v>-0.22123893805309736</v>
          </cell>
          <cell r="Z220">
            <v>-0.23008849557522126</v>
          </cell>
          <cell r="AA220">
            <v>-0.24122807017543857</v>
          </cell>
          <cell r="AB220">
            <v>-0.35164835164835162</v>
          </cell>
        </row>
        <row r="221">
          <cell r="C221" t="str">
            <v>Ukraine</v>
          </cell>
          <cell r="D221">
            <v>-7.0861331704337172E-2</v>
          </cell>
          <cell r="E221">
            <v>-0.10037878787878785</v>
          </cell>
          <cell r="F221">
            <v>-0.10025873221216042</v>
          </cell>
          <cell r="G221">
            <v>-7.8771695594125446E-2</v>
          </cell>
          <cell r="H221">
            <v>-5.8546433378196538E-2</v>
          </cell>
          <cell r="I221">
            <v>-5.5630936227951122E-2</v>
          </cell>
          <cell r="J221">
            <v>-6.801346801346797E-2</v>
          </cell>
          <cell r="K221">
            <v>-6.8243243243243268E-2</v>
          </cell>
          <cell r="L221">
            <v>-7.5233022636484681E-2</v>
          </cell>
          <cell r="M221">
            <v>-8.2446808510638347E-2</v>
          </cell>
          <cell r="N221">
            <v>-0.18832891246684347</v>
          </cell>
          <cell r="O221">
            <v>-0.69053876478317999</v>
          </cell>
          <cell r="P221">
            <v>-0.67761194029850746</v>
          </cell>
          <cell r="Q221">
            <v>-0.75148279952550412</v>
          </cell>
          <cell r="R221">
            <v>-0.75307917888563047</v>
          </cell>
          <cell r="S221">
            <v>-0.82155074116305582</v>
          </cell>
          <cell r="T221">
            <v>-0.74686306601200214</v>
          </cell>
          <cell r="U221">
            <v>-0.7139737991266375</v>
          </cell>
          <cell r="V221">
            <v>-0.4527140458869614</v>
          </cell>
          <cell r="W221">
            <v>-0.35608145294441385</v>
          </cell>
          <cell r="X221">
            <v>-0.2601880877742947</v>
          </cell>
          <cell r="Y221">
            <v>1.7399710004833313E-2</v>
          </cell>
          <cell r="Z221">
            <v>0</v>
          </cell>
          <cell r="AA221">
            <v>-1.9486271036315284E-2</v>
          </cell>
          <cell r="AB221">
            <v>-0.17442366246193997</v>
          </cell>
        </row>
        <row r="222">
          <cell r="C222" t="str">
            <v>United Arab Emirates</v>
          </cell>
          <cell r="D222">
            <v>-2.4064611834514582E-2</v>
          </cell>
          <cell r="E222">
            <v>-1.3687056437985845E-2</v>
          </cell>
          <cell r="F222">
            <v>-1.8045624787197845E-2</v>
          </cell>
          <cell r="G222">
            <v>-2.1461420541645349E-2</v>
          </cell>
          <cell r="H222">
            <v>-1.9362577107607915E-2</v>
          </cell>
          <cell r="I222">
            <v>-3.3482142857142905E-2</v>
          </cell>
          <cell r="J222">
            <v>-3.5183603757472204E-2</v>
          </cell>
          <cell r="K222">
            <v>-3.328781153977467E-2</v>
          </cell>
          <cell r="L222">
            <v>-2.9240766073871383E-2</v>
          </cell>
          <cell r="M222">
            <v>-8.3376134223591802E-2</v>
          </cell>
          <cell r="N222">
            <v>-0.2443230322690797</v>
          </cell>
          <cell r="O222">
            <v>-0.57588503329828256</v>
          </cell>
          <cell r="P222">
            <v>-0.85752071944983244</v>
          </cell>
          <cell r="Q222">
            <v>-0.84399293286219079</v>
          </cell>
          <cell r="R222">
            <v>-0.78479027832222659</v>
          </cell>
          <cell r="S222">
            <v>-0.79733492442322995</v>
          </cell>
          <cell r="T222">
            <v>-0.81380837359098224</v>
          </cell>
          <cell r="U222">
            <v>-0.78078817733990147</v>
          </cell>
          <cell r="V222">
            <v>-0.70905306971904269</v>
          </cell>
          <cell r="W222">
            <v>-0.55880509713808224</v>
          </cell>
          <cell r="X222">
            <v>-0.52096496266513492</v>
          </cell>
          <cell r="Y222">
            <v>-0.38900597119775204</v>
          </cell>
          <cell r="Z222">
            <v>-0.37950630438643229</v>
          </cell>
          <cell r="AA222">
            <v>-0.37825855648164564</v>
          </cell>
          <cell r="AB222">
            <v>-0.43209229155742002</v>
          </cell>
        </row>
        <row r="223">
          <cell r="C223" t="str">
            <v>United Kingdom</v>
          </cell>
          <cell r="D223">
            <v>-1.7621145374449365E-2</v>
          </cell>
          <cell r="E223">
            <v>-4.1273784653605095E-2</v>
          </cell>
          <cell r="F223">
            <v>-4.18815877999551E-2</v>
          </cell>
          <cell r="G223">
            <v>-5.0596055595231504E-2</v>
          </cell>
          <cell r="H223">
            <v>-4.3159696224195132E-2</v>
          </cell>
          <cell r="I223">
            <v>-3.9569647752547454E-2</v>
          </cell>
          <cell r="J223">
            <v>-3.033552933966599E-2</v>
          </cell>
          <cell r="K223">
            <v>-1.8531901713813803E-2</v>
          </cell>
          <cell r="L223">
            <v>-2.7254098360655732E-2</v>
          </cell>
          <cell r="M223">
            <v>-0.15505102040816332</v>
          </cell>
          <cell r="N223">
            <v>-0.19348865915753743</v>
          </cell>
          <cell r="O223">
            <v>-0.53522848846095061</v>
          </cell>
          <cell r="P223">
            <v>-0.75621290801186947</v>
          </cell>
          <cell r="Q223">
            <v>-0.90673006583760063</v>
          </cell>
          <cell r="R223">
            <v>-0.91955193482688391</v>
          </cell>
          <cell r="S223">
            <v>-0.93238121649103345</v>
          </cell>
          <cell r="T223">
            <v>-0.9348725477111971</v>
          </cell>
          <cell r="U223">
            <v>-0.92498124531132786</v>
          </cell>
          <cell r="V223">
            <v>-0.89684539845311551</v>
          </cell>
          <cell r="W223">
            <v>-0.66601044252332442</v>
          </cell>
          <cell r="X223">
            <v>-0.63876224248564673</v>
          </cell>
          <cell r="Y223">
            <v>-0.40248789447320088</v>
          </cell>
          <cell r="Z223">
            <v>-0.39862471348197537</v>
          </cell>
          <cell r="AA223">
            <v>-0.35118374188141632</v>
          </cell>
          <cell r="AB223">
            <v>-0.42919744584950548</v>
          </cell>
        </row>
        <row r="224">
          <cell r="C224" t="str">
            <v>Uruguay</v>
          </cell>
          <cell r="D224">
            <v>-6.7164179104477584E-2</v>
          </cell>
          <cell r="E224">
            <v>-0.10526315789473684</v>
          </cell>
          <cell r="F224">
            <v>-0.11494252873563215</v>
          </cell>
          <cell r="G224">
            <v>-0.12643678160919536</v>
          </cell>
          <cell r="H224">
            <v>-0.16194331983805665</v>
          </cell>
          <cell r="I224">
            <v>-0.14344262295081966</v>
          </cell>
          <cell r="J224">
            <v>-8.9361702127659592E-2</v>
          </cell>
          <cell r="K224">
            <v>-7.4889867841409719E-2</v>
          </cell>
          <cell r="L224">
            <v>-5.7142857142857162E-2</v>
          </cell>
          <cell r="M224">
            <v>6.9518716577540163E-2</v>
          </cell>
          <cell r="N224">
            <v>7.6923076923076872E-2</v>
          </cell>
          <cell r="O224">
            <v>-0.46153846153846156</v>
          </cell>
          <cell r="P224">
            <v>-0.66666666666666674</v>
          </cell>
          <cell r="Q224">
            <v>-0.85263157894736841</v>
          </cell>
          <cell r="R224">
            <v>-0.77777777777777779</v>
          </cell>
          <cell r="S224">
            <v>-0.8192090395480226</v>
          </cell>
          <cell r="T224">
            <v>-0.83333333333333337</v>
          </cell>
          <cell r="U224">
            <v>-0.79651162790697672</v>
          </cell>
          <cell r="V224">
            <v>-0.77325581395348841</v>
          </cell>
          <cell r="W224">
            <v>-0.68421052631578949</v>
          </cell>
          <cell r="X224">
            <v>-0.68604651162790697</v>
          </cell>
          <cell r="Y224">
            <v>-0.41279069767441856</v>
          </cell>
          <cell r="Z224">
            <v>-0.39204545454545459</v>
          </cell>
          <cell r="AA224">
            <v>-0.38888888888888884</v>
          </cell>
          <cell r="AB224">
            <v>-0.46892655367231639</v>
          </cell>
        </row>
        <row r="225">
          <cell r="C225" t="str">
            <v>USA</v>
          </cell>
          <cell r="D225">
            <v>1.6384647131654884E-2</v>
          </cell>
          <cell r="E225">
            <v>1.2783414697893125E-2</v>
          </cell>
          <cell r="F225">
            <v>1.5398680376955909E-2</v>
          </cell>
          <cell r="G225">
            <v>2.1962035382499634E-2</v>
          </cell>
          <cell r="H225">
            <v>1.5446076806951758E-2</v>
          </cell>
          <cell r="I225">
            <v>1.3485292303192953E-2</v>
          </cell>
          <cell r="J225">
            <v>1.4822468867470739E-2</v>
          </cell>
          <cell r="K225">
            <v>6.3938618925831747E-3</v>
          </cell>
          <cell r="L225">
            <v>-2.1182109303755858E-2</v>
          </cell>
          <cell r="M225">
            <v>-1.3243596216353848E-2</v>
          </cell>
          <cell r="N225">
            <v>-4.839445032353562E-3</v>
          </cell>
          <cell r="O225">
            <v>-4.7696211436036529E-2</v>
          </cell>
          <cell r="P225">
            <v>-0.22955838992043553</v>
          </cell>
          <cell r="Q225">
            <v>-0.45240755811747047</v>
          </cell>
          <cell r="R225">
            <v>-0.57983032711708959</v>
          </cell>
          <cell r="S225">
            <v>-0.60757721437848966</v>
          </cell>
          <cell r="T225">
            <v>-0.63528626763075402</v>
          </cell>
          <cell r="U225">
            <v>-0.74539672470493967</v>
          </cell>
          <cell r="V225">
            <v>-0.74291144272015108</v>
          </cell>
          <cell r="W225">
            <v>-0.7178495984674198</v>
          </cell>
          <cell r="X225">
            <v>-0.71812683644510211</v>
          </cell>
          <cell r="Y225">
            <v>-0.46163843327059251</v>
          </cell>
          <cell r="Z225">
            <v>-0.3457136305301991</v>
          </cell>
          <cell r="AA225">
            <v>-0.33529520324811835</v>
          </cell>
          <cell r="AB225">
            <v>-0.42081340674355983</v>
          </cell>
        </row>
        <row r="226">
          <cell r="C226" t="str">
            <v>Uzbekistan</v>
          </cell>
          <cell r="D226">
            <v>3.7825059101654901E-2</v>
          </cell>
          <cell r="E226">
            <v>1.6470588235294015E-2</v>
          </cell>
          <cell r="F226">
            <v>-1.6279069767441867E-2</v>
          </cell>
          <cell r="G226">
            <v>2.3980815347721673E-3</v>
          </cell>
          <cell r="H226">
            <v>4.3795620437956151E-2</v>
          </cell>
          <cell r="I226">
            <v>1.4598540145985384E-2</v>
          </cell>
          <cell r="J226">
            <v>0</v>
          </cell>
          <cell r="K226">
            <v>1.2106537530266248E-2</v>
          </cell>
          <cell r="L226">
            <v>2.5943396226415061E-2</v>
          </cell>
          <cell r="M226">
            <v>-2.10280373831776E-2</v>
          </cell>
          <cell r="N226">
            <v>-2.752293577981646E-2</v>
          </cell>
          <cell r="O226">
            <v>-0.73426573426573427</v>
          </cell>
          <cell r="P226">
            <v>-0.9887892376681614</v>
          </cell>
          <cell r="Q226">
            <v>-0.98447893569844791</v>
          </cell>
          <cell r="R226">
            <v>-0.99786324786324787</v>
          </cell>
          <cell r="S226">
            <v>-0.99793814432989691</v>
          </cell>
          <cell r="T226">
            <v>-0.98109243697478987</v>
          </cell>
          <cell r="U226">
            <v>-0.95905172413793105</v>
          </cell>
          <cell r="V226">
            <v>-0.95424836601307195</v>
          </cell>
          <cell r="W226">
            <v>-0.93722943722943719</v>
          </cell>
          <cell r="X226">
            <v>-0.90308370044052866</v>
          </cell>
          <cell r="Y226">
            <v>-0.67920353982300885</v>
          </cell>
          <cell r="Z226">
            <v>-0.65525114155251141</v>
          </cell>
          <cell r="AA226">
            <v>-0.65207373271889402</v>
          </cell>
          <cell r="AB226">
            <v>-0.70412844036697253</v>
          </cell>
        </row>
        <row r="227">
          <cell r="C227" t="str">
            <v>Vanuatu</v>
          </cell>
          <cell r="D227">
            <v>4.2682926829268331E-2</v>
          </cell>
          <cell r="E227">
            <v>0.10759493670886067</v>
          </cell>
          <cell r="F227">
            <v>7.5709779179810699E-2</v>
          </cell>
          <cell r="G227">
            <v>5.2147239263803602E-2</v>
          </cell>
          <cell r="H227">
            <v>8.5808580858085737E-2</v>
          </cell>
          <cell r="I227">
            <v>9.6345514950166189E-2</v>
          </cell>
          <cell r="J227">
            <v>9.5709570957095647E-2</v>
          </cell>
          <cell r="K227">
            <v>6.7524115755627001E-2</v>
          </cell>
          <cell r="L227">
            <v>0.19655172413793109</v>
          </cell>
          <cell r="M227">
            <v>0.13993174061433455</v>
          </cell>
          <cell r="N227">
            <v>9.5081967213114682E-2</v>
          </cell>
          <cell r="O227">
            <v>4.2763157894736947E-2</v>
          </cell>
          <cell r="P227">
            <v>-6.6445182724252483E-2</v>
          </cell>
          <cell r="Q227">
            <v>-0.61716171617161719</v>
          </cell>
          <cell r="R227">
            <v>-0.31699346405228757</v>
          </cell>
          <cell r="S227">
            <v>-0.39577039274924475</v>
          </cell>
          <cell r="T227">
            <v>-0.31456953642384111</v>
          </cell>
          <cell r="U227">
            <v>-0.37898089171974525</v>
          </cell>
          <cell r="V227">
            <v>-0.31907894736842102</v>
          </cell>
          <cell r="W227">
            <v>-0.32131147540983607</v>
          </cell>
          <cell r="X227">
            <v>-0.2837370242214533</v>
          </cell>
          <cell r="Y227">
            <v>-0.16617210682492578</v>
          </cell>
          <cell r="Z227">
            <v>-0.15915915915915912</v>
          </cell>
          <cell r="AA227">
            <v>-0.16470588235294115</v>
          </cell>
          <cell r="AB227">
            <v>-0.3183098591549296</v>
          </cell>
        </row>
        <row r="228">
          <cell r="C228" t="str">
            <v>Venezuela</v>
          </cell>
          <cell r="D228">
            <v>-0.23657474600870831</v>
          </cell>
          <cell r="E228">
            <v>-0.24749642346208867</v>
          </cell>
          <cell r="F228">
            <v>-0.21356421356421351</v>
          </cell>
          <cell r="G228">
            <v>-0.11129296235679209</v>
          </cell>
          <cell r="H228">
            <v>-0.16539050535987754</v>
          </cell>
          <cell r="I228">
            <v>-0.14551083591331271</v>
          </cell>
          <cell r="J228">
            <v>-0.15038759689922476</v>
          </cell>
          <cell r="K228">
            <v>-6.1433447098976135E-2</v>
          </cell>
          <cell r="L228">
            <v>-0.13685847589424571</v>
          </cell>
          <cell r="M228">
            <v>-0.15658914728682172</v>
          </cell>
          <cell r="N228">
            <v>-0.14960629921259838</v>
          </cell>
          <cell r="O228">
            <v>-0.14975845410628019</v>
          </cell>
          <cell r="P228">
            <v>-9.9130434782608745E-2</v>
          </cell>
          <cell r="Q228">
            <v>-0.16961130742049468</v>
          </cell>
          <cell r="R228">
            <v>-0.25265017667844525</v>
          </cell>
          <cell r="S228">
            <v>-0.30212014134275622</v>
          </cell>
          <cell r="T228">
            <v>-0.29674099485420236</v>
          </cell>
          <cell r="U228">
            <v>-0.51111111111111107</v>
          </cell>
          <cell r="V228">
            <v>-0.51689189189189189</v>
          </cell>
          <cell r="W228">
            <v>-0.51525423728813557</v>
          </cell>
          <cell r="X228">
            <v>-0.51428571428571423</v>
          </cell>
          <cell r="Y228">
            <v>-0.30704697986577179</v>
          </cell>
          <cell r="Z228">
            <v>-0.29560810810810811</v>
          </cell>
          <cell r="AA228">
            <v>-0.28474576271186436</v>
          </cell>
          <cell r="AB228">
            <v>-0.39291736930860033</v>
          </cell>
        </row>
        <row r="229">
          <cell r="C229" t="str">
            <v>Viet Nam</v>
          </cell>
          <cell r="D229">
            <v>0.24757520960052615</v>
          </cell>
          <cell r="E229">
            <v>0.28169474889579593</v>
          </cell>
          <cell r="F229">
            <v>0.26482780612244894</v>
          </cell>
          <cell r="G229">
            <v>0.30451897339001732</v>
          </cell>
          <cell r="H229">
            <v>0.16805225653206657</v>
          </cell>
          <cell r="I229">
            <v>0.11711578323956173</v>
          </cell>
          <cell r="J229">
            <v>0.14294394652893816</v>
          </cell>
          <cell r="K229">
            <v>2.1351227695591835E-3</v>
          </cell>
          <cell r="L229">
            <v>-7.0579382994732875E-2</v>
          </cell>
          <cell r="M229">
            <v>-6.2875150060023977E-2</v>
          </cell>
          <cell r="N229">
            <v>-0.12513144058885384</v>
          </cell>
          <cell r="O229">
            <v>-0.34410069760388229</v>
          </cell>
          <cell r="P229">
            <v>-0.51779935275080913</v>
          </cell>
          <cell r="Q229">
            <v>-0.86120524532193898</v>
          </cell>
          <cell r="R229">
            <v>-0.81587813095063721</v>
          </cell>
          <cell r="S229">
            <v>-0.75312724658519048</v>
          </cell>
          <cell r="T229">
            <v>-0.70090326340326348</v>
          </cell>
          <cell r="U229">
            <v>-0.57291509576232846</v>
          </cell>
          <cell r="V229">
            <v>-0.52601326455416353</v>
          </cell>
          <cell r="W229">
            <v>-0.42000000000000004</v>
          </cell>
          <cell r="X229">
            <v>-0.42534575218741177</v>
          </cell>
          <cell r="Y229">
            <v>-7.8053383661364273E-2</v>
          </cell>
          <cell r="Z229">
            <v>-7.6304691618344744E-2</v>
          </cell>
          <cell r="AA229">
            <v>-3.2834252692408694E-2</v>
          </cell>
          <cell r="AB229">
            <v>-0.17710359133929732</v>
          </cell>
        </row>
        <row r="230">
          <cell r="C230" t="str">
            <v>Virgin Islands, British</v>
          </cell>
          <cell r="D230">
            <v>6.25E-2</v>
          </cell>
          <cell r="E230">
            <v>3.811659192825112E-2</v>
          </cell>
          <cell r="F230">
            <v>4.405286343612369E-3</v>
          </cell>
          <cell r="G230">
            <v>1.1111111111111072E-2</v>
          </cell>
          <cell r="H230">
            <v>1.5452538631346657E-2</v>
          </cell>
          <cell r="I230">
            <v>1.982378854625555E-2</v>
          </cell>
          <cell r="J230">
            <v>2.207505518763786E-2</v>
          </cell>
          <cell r="K230">
            <v>8.7719298245614308E-3</v>
          </cell>
          <cell r="L230">
            <v>2.1739130434783593E-3</v>
          </cell>
          <cell r="M230">
            <v>1.0964912280701844E-2</v>
          </cell>
          <cell r="N230">
            <v>-6.5645514223194867E-3</v>
          </cell>
          <cell r="O230">
            <v>-0.13043478260869568</v>
          </cell>
          <cell r="P230">
            <v>5.6213017751479244E-2</v>
          </cell>
          <cell r="Q230">
            <v>-0.19327731092436973</v>
          </cell>
          <cell r="R230">
            <v>-0.27777777777777779</v>
          </cell>
          <cell r="S230">
            <v>-0.27950310559006208</v>
          </cell>
          <cell r="T230">
            <v>-0.40748440748440751</v>
          </cell>
          <cell r="U230">
            <v>-0.55833333333333335</v>
          </cell>
          <cell r="V230">
            <v>-0.52830188679245282</v>
          </cell>
          <cell r="W230">
            <v>-0.5073375262054507</v>
          </cell>
          <cell r="X230">
            <v>-0.50736842105263158</v>
          </cell>
          <cell r="Y230">
            <v>-0.4715789473684211</v>
          </cell>
          <cell r="Z230">
            <v>-0.45940170940170943</v>
          </cell>
          <cell r="AA230">
            <v>-0.42950108459869851</v>
          </cell>
          <cell r="AB230">
            <v>-0.50322580645161286</v>
          </cell>
        </row>
        <row r="231">
          <cell r="C231" t="str">
            <v>Virgin Islands, US</v>
          </cell>
          <cell r="D231">
            <v>-1.4858841010401136E-3</v>
          </cell>
          <cell r="E231">
            <v>-3.338171262699563E-2</v>
          </cell>
          <cell r="F231">
            <v>-2.3633677991137358E-2</v>
          </cell>
          <cell r="G231">
            <v>-1.4903129657227732E-3</v>
          </cell>
          <cell r="H231">
            <v>6.8713450292397615E-2</v>
          </cell>
          <cell r="I231">
            <v>2.8776978417266452E-3</v>
          </cell>
          <cell r="J231">
            <v>-2.2824536376604865E-2</v>
          </cell>
          <cell r="K231">
            <v>6.25E-2</v>
          </cell>
          <cell r="L231">
            <v>0.20280811232449292</v>
          </cell>
          <cell r="M231">
            <v>7.7881619937694602E-2</v>
          </cell>
          <cell r="N231">
            <v>-2.4673439767779359E-2</v>
          </cell>
          <cell r="O231">
            <v>-1.5723270440251569E-2</v>
          </cell>
          <cell r="P231">
            <v>-0.16666666666666663</v>
          </cell>
          <cell r="Q231">
            <v>-0.28976377952755905</v>
          </cell>
          <cell r="R231">
            <v>-0.32605304212168484</v>
          </cell>
          <cell r="S231">
            <v>-0.35130970724191068</v>
          </cell>
          <cell r="T231">
            <v>-0.4355300859598854</v>
          </cell>
          <cell r="U231">
            <v>-0.31103678929765888</v>
          </cell>
          <cell r="V231">
            <v>-0.29109589041095896</v>
          </cell>
          <cell r="W231">
            <v>-0.29230769230769227</v>
          </cell>
          <cell r="X231">
            <v>-0.25172413793103443</v>
          </cell>
          <cell r="Y231">
            <v>-0.15068493150684936</v>
          </cell>
          <cell r="Z231">
            <v>-8.9376053962900492E-2</v>
          </cell>
          <cell r="AA231">
            <v>-3.3613445378151141E-3</v>
          </cell>
          <cell r="AB231">
            <v>1.0067114093959662E-2</v>
          </cell>
        </row>
        <row r="232">
          <cell r="C232" t="str">
            <v>Wallis and Futuna Islands</v>
          </cell>
          <cell r="D232">
            <v>0.14285714285714279</v>
          </cell>
          <cell r="E232">
            <v>-6.25E-2</v>
          </cell>
          <cell r="F232">
            <v>0</v>
          </cell>
          <cell r="G232">
            <v>7.1428571428571397E-2</v>
          </cell>
          <cell r="H232">
            <v>-7.1428571428571397E-2</v>
          </cell>
          <cell r="I232">
            <v>7.1428571428571397E-2</v>
          </cell>
          <cell r="J232">
            <v>8.6956521739130377E-2</v>
          </cell>
          <cell r="K232">
            <v>8.6956521739130377E-2</v>
          </cell>
          <cell r="L232">
            <v>-0.25806451612903225</v>
          </cell>
          <cell r="M232">
            <v>0</v>
          </cell>
          <cell r="N232">
            <v>-0.23333333333333328</v>
          </cell>
          <cell r="O232">
            <v>-0.90196078431372551</v>
          </cell>
          <cell r="P232">
            <v>-0.5</v>
          </cell>
          <cell r="Q232">
            <v>-0.30555555555555558</v>
          </cell>
          <cell r="R232">
            <v>-0.27777777777777779</v>
          </cell>
          <cell r="S232">
            <v>-0.52380952380952384</v>
          </cell>
          <cell r="T232">
            <v>-0.56521739130434789</v>
          </cell>
          <cell r="U232">
            <v>-0.6</v>
          </cell>
          <cell r="V232">
            <v>-0.56521739130434789</v>
          </cell>
          <cell r="W232">
            <v>-0.56521739130434789</v>
          </cell>
          <cell r="X232">
            <v>-0.65517241379310343</v>
          </cell>
          <cell r="Y232">
            <v>9.8039215686274606E-2</v>
          </cell>
          <cell r="Z232">
            <v>0</v>
          </cell>
          <cell r="AA232">
            <v>7.8431372549019551E-2</v>
          </cell>
          <cell r="AB232">
            <v>0</v>
          </cell>
        </row>
        <row r="233">
          <cell r="C233" t="str">
            <v>Yemen</v>
          </cell>
          <cell r="D233">
            <v>0.16666666666666674</v>
          </cell>
          <cell r="E233">
            <v>-0.16666666666666663</v>
          </cell>
          <cell r="F233">
            <v>-0.16666666666666663</v>
          </cell>
          <cell r="G233">
            <v>-0.16666666666666663</v>
          </cell>
          <cell r="H233">
            <v>-0.2857142857142857</v>
          </cell>
          <cell r="I233">
            <v>-9.0909090909090939E-2</v>
          </cell>
          <cell r="J233">
            <v>-9.0909090909090939E-2</v>
          </cell>
          <cell r="K233">
            <v>-9.0909090909090939E-2</v>
          </cell>
          <cell r="L233">
            <v>-0.27272727272727271</v>
          </cell>
          <cell r="M233">
            <v>-0.27272727272727271</v>
          </cell>
          <cell r="N233">
            <v>-0.27272727272727271</v>
          </cell>
          <cell r="O233">
            <v>0.33333333333333326</v>
          </cell>
          <cell r="P233">
            <v>-0.11111111111111116</v>
          </cell>
          <cell r="Q233">
            <v>-0.11111111111111116</v>
          </cell>
          <cell r="R233">
            <v>-0.11111111111111116</v>
          </cell>
          <cell r="S233">
            <v>-0.11111111111111116</v>
          </cell>
          <cell r="T233">
            <v>-0.11111111111111116</v>
          </cell>
          <cell r="U233">
            <v>-0.11111111111111116</v>
          </cell>
          <cell r="V233">
            <v>-0.11111111111111116</v>
          </cell>
          <cell r="W233">
            <v>-0.11111111111111116</v>
          </cell>
          <cell r="X233">
            <v>-0.33333333333333337</v>
          </cell>
          <cell r="Y233">
            <v>-0.19999999999999996</v>
          </cell>
          <cell r="Z233">
            <v>-0.19999999999999996</v>
          </cell>
          <cell r="AA233">
            <v>-0.19999999999999996</v>
          </cell>
          <cell r="AB233">
            <v>-0.30000000000000004</v>
          </cell>
        </row>
        <row r="234">
          <cell r="C234" t="str">
            <v>Zambia</v>
          </cell>
          <cell r="D234">
            <v>-2.3188405797101463E-2</v>
          </cell>
          <cell r="E234">
            <v>-1.1695906432748537E-2</v>
          </cell>
          <cell r="F234">
            <v>-1.7804154302670572E-2</v>
          </cell>
          <cell r="G234">
            <v>-4.692082111436946E-2</v>
          </cell>
          <cell r="H234">
            <v>-3.8011695906432719E-2</v>
          </cell>
          <cell r="I234">
            <v>-5.187319884726227E-2</v>
          </cell>
          <cell r="J234">
            <v>-5.3221288515406195E-2</v>
          </cell>
          <cell r="K234">
            <v>-5.4495912806539537E-2</v>
          </cell>
          <cell r="L234">
            <v>-2.5352112676056304E-2</v>
          </cell>
          <cell r="M234">
            <v>-3.6414565826330514E-2</v>
          </cell>
          <cell r="N234">
            <v>2.9585798816567088E-3</v>
          </cell>
          <cell r="O234">
            <v>-0.22543352601156075</v>
          </cell>
          <cell r="P234">
            <v>-0.4228723404255319</v>
          </cell>
          <cell r="Q234">
            <v>-0.80620155038759689</v>
          </cell>
          <cell r="R234">
            <v>-0.81413612565445026</v>
          </cell>
          <cell r="S234">
            <v>-0.73756906077348061</v>
          </cell>
          <cell r="T234">
            <v>-0.79624664879356566</v>
          </cell>
          <cell r="U234">
            <v>-0.8294573643410853</v>
          </cell>
          <cell r="V234">
            <v>-0.7846153846153846</v>
          </cell>
          <cell r="W234">
            <v>-0.71641791044776126</v>
          </cell>
          <cell r="X234">
            <v>-0.67898383371824478</v>
          </cell>
          <cell r="Y234">
            <v>-0.58940397350993379</v>
          </cell>
          <cell r="Z234">
            <v>-0.57692307692307687</v>
          </cell>
          <cell r="AA234">
            <v>-0.55748373101952275</v>
          </cell>
          <cell r="AB234">
            <v>-0.6294736842105263</v>
          </cell>
        </row>
        <row r="235">
          <cell r="C235" t="str">
            <v>Zimbabwe</v>
          </cell>
          <cell r="D235">
            <v>6.1688311688311792E-2</v>
          </cell>
          <cell r="E235">
            <v>6.020066889632103E-2</v>
          </cell>
          <cell r="F235">
            <v>5.0847457627118731E-2</v>
          </cell>
          <cell r="G235">
            <v>1.3377926421404673E-2</v>
          </cell>
          <cell r="H235">
            <v>2.3890784982935065E-2</v>
          </cell>
          <cell r="I235">
            <v>1.6949152542372836E-2</v>
          </cell>
          <cell r="J235">
            <v>3.436426116838498E-2</v>
          </cell>
          <cell r="K235">
            <v>3.0927835051546282E-2</v>
          </cell>
          <cell r="L235">
            <v>5.7823129251700633E-2</v>
          </cell>
          <cell r="M235">
            <v>5.7823129251700633E-2</v>
          </cell>
          <cell r="N235">
            <v>2.0689655172413834E-2</v>
          </cell>
          <cell r="O235">
            <v>-0.25082508250825086</v>
          </cell>
          <cell r="P235">
            <v>-0.54517133956386288</v>
          </cell>
          <cell r="Q235">
            <v>-0.76802507836990597</v>
          </cell>
          <cell r="R235">
            <v>-0.7592592592592593</v>
          </cell>
          <cell r="S235">
            <v>-0.71076923076923082</v>
          </cell>
          <cell r="T235">
            <v>-0.75163398692810457</v>
          </cell>
          <cell r="U235">
            <v>-0.70163934426229502</v>
          </cell>
          <cell r="V235">
            <v>-0.6165644171779141</v>
          </cell>
          <cell r="W235">
            <v>-0.49840255591054317</v>
          </cell>
          <cell r="X235">
            <v>-0.45367412140575081</v>
          </cell>
          <cell r="Y235">
            <v>-0.19426751592356684</v>
          </cell>
          <cell r="Z235">
            <v>-0.1565495207667732</v>
          </cell>
          <cell r="AA235">
            <v>-0.12052117263843654</v>
          </cell>
          <cell r="AB235">
            <v>-0.24262295081967211</v>
          </cell>
        </row>
        <row r="236">
          <cell r="C236" t="str">
            <v>Grand Total</v>
          </cell>
          <cell r="D236">
            <v>1.4701889086248254E-2</v>
          </cell>
          <cell r="E236">
            <v>1.2705823293172713E-2</v>
          </cell>
          <cell r="F236">
            <v>4.8466574883350155E-3</v>
          </cell>
          <cell r="G236">
            <v>1.5746681017232422E-3</v>
          </cell>
          <cell r="H236">
            <v>-3.5911066225215005E-2</v>
          </cell>
          <cell r="I236">
            <v>-9.9399205829819315E-2</v>
          </cell>
          <cell r="J236">
            <v>-0.1073278218008642</v>
          </cell>
          <cell r="K236">
            <v>-0.10101332589607903</v>
          </cell>
          <cell r="L236">
            <v>-7.9269575922427449E-2</v>
          </cell>
          <cell r="M236">
            <v>-0.10084136302261537</v>
          </cell>
          <cell r="N236">
            <v>-0.12388636684329091</v>
          </cell>
          <cell r="O236">
            <v>-0.28713050121615302</v>
          </cell>
          <cell r="P236">
            <v>-0.47658577762048471</v>
          </cell>
          <cell r="Q236">
            <v>-0.5918391844176033</v>
          </cell>
          <cell r="R236">
            <v>-0.64944026585274039</v>
          </cell>
          <cell r="S236">
            <v>-0.67158482126976371</v>
          </cell>
          <cell r="T236">
            <v>-0.66833789572147184</v>
          </cell>
          <cell r="U236">
            <v>-0.69921190010682688</v>
          </cell>
          <cell r="V236">
            <v>-0.64049365304912742</v>
          </cell>
          <cell r="W236">
            <v>-0.55683767125482619</v>
          </cell>
          <cell r="X236">
            <v>-0.53938040558421885</v>
          </cell>
          <cell r="Y236">
            <v>-0.2582826848215467</v>
          </cell>
          <cell r="Z236">
            <v>-0.2202213317333267</v>
          </cell>
          <cell r="AA236">
            <v>-0.19678074031842796</v>
          </cell>
          <cell r="AB236">
            <v>-0.30724156094941923</v>
          </cell>
        </row>
      </sheetData>
      <sheetData sheetId="9">
        <row r="7">
          <cell r="C7" t="str">
            <v>Afghanistan</v>
          </cell>
          <cell r="D7">
            <v>-3.5339063992359088E-2</v>
          </cell>
          <cell r="E7">
            <v>5.5299539170508005E-3</v>
          </cell>
          <cell r="F7">
            <v>-3.3666969972702465E-2</v>
          </cell>
        </row>
        <row r="8">
          <cell r="C8" t="str">
            <v>Albania</v>
          </cell>
          <cell r="D8">
            <v>-4.0380047505938266E-2</v>
          </cell>
          <cell r="E8">
            <v>-0.12974296205630353</v>
          </cell>
          <cell r="F8">
            <v>-0.3035714285714286</v>
          </cell>
        </row>
        <row r="9">
          <cell r="C9" t="str">
            <v>Algeria</v>
          </cell>
          <cell r="D9">
            <v>-4.5714285714285707E-2</v>
          </cell>
          <cell r="E9">
            <v>-5.3852967227635107E-2</v>
          </cell>
          <cell r="F9">
            <v>-0.26077957916522942</v>
          </cell>
        </row>
        <row r="10">
          <cell r="C10" t="str">
            <v>American Samoa</v>
          </cell>
          <cell r="D10">
            <v>-0.11111111111111116</v>
          </cell>
          <cell r="E10">
            <v>0</v>
          </cell>
          <cell r="F10">
            <v>0</v>
          </cell>
        </row>
        <row r="11">
          <cell r="C11" t="str">
            <v>Angola</v>
          </cell>
          <cell r="D11">
            <v>-0.27183098591549293</v>
          </cell>
          <cell r="E11">
            <v>-0.30895420369104576</v>
          </cell>
          <cell r="F11">
            <v>-0.41006711409395968</v>
          </cell>
        </row>
        <row r="12">
          <cell r="C12" t="str">
            <v>Anguilla, Leeward Islands</v>
          </cell>
          <cell r="D12">
            <v>3.0219780219780112E-2</v>
          </cell>
          <cell r="E12">
            <v>-2.9972752043596729E-2</v>
          </cell>
          <cell r="F12">
            <v>-1.1560693641618491E-2</v>
          </cell>
        </row>
        <row r="13">
          <cell r="C13" t="str">
            <v>Antigua and Barbuda, Leeward Islands</v>
          </cell>
          <cell r="D13">
            <v>-4.2671614100185495E-2</v>
          </cell>
          <cell r="E13">
            <v>-4.3079743354720423E-2</v>
          </cell>
          <cell r="F13">
            <v>-9.1076356945722137E-2</v>
          </cell>
        </row>
        <row r="14">
          <cell r="C14" t="str">
            <v>Argentina</v>
          </cell>
          <cell r="D14">
            <v>-0.11130372407197087</v>
          </cell>
          <cell r="E14">
            <v>-9.8601138895766272E-2</v>
          </cell>
          <cell r="F14">
            <v>-0.22671127123005663</v>
          </cell>
        </row>
        <row r="15">
          <cell r="C15" t="str">
            <v>Armenia</v>
          </cell>
          <cell r="D15">
            <v>0.23420074349442377</v>
          </cell>
          <cell r="E15">
            <v>0.25298013245033113</v>
          </cell>
          <cell r="F15">
            <v>0.12077922077922087</v>
          </cell>
        </row>
        <row r="16">
          <cell r="C16" t="str">
            <v>Aruba</v>
          </cell>
          <cell r="D16">
            <v>-0.13285024154589375</v>
          </cell>
          <cell r="E16">
            <v>-6.3938618925831192E-2</v>
          </cell>
          <cell r="F16">
            <v>-0.12733748886910057</v>
          </cell>
        </row>
        <row r="17">
          <cell r="C17" t="str">
            <v>Australia</v>
          </cell>
          <cell r="D17">
            <v>-3.4501671094352537E-2</v>
          </cell>
          <cell r="E17">
            <v>-3.1728847435043339E-2</v>
          </cell>
          <cell r="F17">
            <v>-5.670223798213625E-2</v>
          </cell>
        </row>
        <row r="18">
          <cell r="C18" t="str">
            <v>Austria</v>
          </cell>
          <cell r="D18">
            <v>4.2619441471246411E-2</v>
          </cell>
          <cell r="E18">
            <v>3.02022720975339E-2</v>
          </cell>
          <cell r="F18">
            <v>-0.2449299329793716</v>
          </cell>
        </row>
        <row r="19">
          <cell r="C19" t="str">
            <v>Azerbaijan</v>
          </cell>
          <cell r="D19">
            <v>0.10371517027863786</v>
          </cell>
          <cell r="E19">
            <v>0.11438474870017323</v>
          </cell>
          <cell r="F19">
            <v>-0.22510822510822515</v>
          </cell>
        </row>
        <row r="20">
          <cell r="C20" t="str">
            <v>Bahamas</v>
          </cell>
          <cell r="D20">
            <v>-6.0226283724978291E-2</v>
          </cell>
          <cell r="E20">
            <v>-6.8073182792154241E-2</v>
          </cell>
          <cell r="F20">
            <v>-0.1160659743433109</v>
          </cell>
        </row>
        <row r="21">
          <cell r="C21" t="str">
            <v>Bahrain</v>
          </cell>
          <cell r="D21">
            <v>-6.4004876562023805E-3</v>
          </cell>
          <cell r="E21">
            <v>8.7636932707355619E-3</v>
          </cell>
          <cell r="F21">
            <v>-0.32962845347729441</v>
          </cell>
        </row>
        <row r="22">
          <cell r="C22" t="str">
            <v>Bangladesh</v>
          </cell>
          <cell r="D22">
            <v>-1.949768671513552E-2</v>
          </cell>
          <cell r="E22">
            <v>1.0136257892987777E-2</v>
          </cell>
          <cell r="F22">
            <v>-3.0487804878048808E-3</v>
          </cell>
        </row>
        <row r="23">
          <cell r="C23" t="str">
            <v>Barbados</v>
          </cell>
          <cell r="D23">
            <v>-5.4640718562874224E-2</v>
          </cell>
          <cell r="E23">
            <v>-3.9552238805970141E-2</v>
          </cell>
          <cell r="F23">
            <v>-4.8761609907120751E-2</v>
          </cell>
        </row>
        <row r="24">
          <cell r="C24" t="str">
            <v>Belarus</v>
          </cell>
          <cell r="D24">
            <v>4.073436603557079E-2</v>
          </cell>
          <cell r="E24">
            <v>3.5672514619883078E-2</v>
          </cell>
          <cell r="F24">
            <v>-0.14845119812974872</v>
          </cell>
        </row>
        <row r="25">
          <cell r="C25" t="str">
            <v>Belgium</v>
          </cell>
          <cell r="D25">
            <v>-3.2750362036314984E-2</v>
          </cell>
          <cell r="E25">
            <v>6.0129004045041956E-3</v>
          </cell>
          <cell r="F25">
            <v>-0.26825872777896764</v>
          </cell>
        </row>
        <row r="26">
          <cell r="C26" t="str">
            <v>Belize</v>
          </cell>
          <cell r="D26">
            <v>0.16222842743308585</v>
          </cell>
          <cell r="E26">
            <v>0.1415310103592089</v>
          </cell>
          <cell r="F26">
            <v>0.13602351683591651</v>
          </cell>
        </row>
        <row r="27">
          <cell r="C27" t="str">
            <v>Benin</v>
          </cell>
          <cell r="D27">
            <v>-0.20207253886010368</v>
          </cell>
          <cell r="E27">
            <v>-9.9999999999999978E-2</v>
          </cell>
          <cell r="F27">
            <v>-0.21931589537223339</v>
          </cell>
        </row>
        <row r="28">
          <cell r="C28" t="str">
            <v>Bermuda</v>
          </cell>
          <cell r="D28">
            <v>-0.13675213675213671</v>
          </cell>
          <cell r="E28">
            <v>-0.11715481171548114</v>
          </cell>
          <cell r="F28">
            <v>-0.25600000000000001</v>
          </cell>
        </row>
        <row r="29">
          <cell r="C29" t="str">
            <v>Bhutan</v>
          </cell>
          <cell r="D29">
            <v>-7.8651685393258397E-2</v>
          </cell>
          <cell r="E29">
            <v>0.20325203252032531</v>
          </cell>
          <cell r="F29">
            <v>-0.31498470948012236</v>
          </cell>
        </row>
        <row r="30">
          <cell r="C30" t="str">
            <v>Bolivia</v>
          </cell>
          <cell r="D30">
            <v>-6.4635435012328268E-2</v>
          </cell>
          <cell r="E30">
            <v>-4.7559224694903035E-2</v>
          </cell>
          <cell r="F30">
            <v>-8.6041358936484458E-2</v>
          </cell>
        </row>
        <row r="31">
          <cell r="C31" t="str">
            <v>Bonaire, Saint Eustatius and Saba</v>
          </cell>
          <cell r="D31">
            <v>0.2636887608069165</v>
          </cell>
          <cell r="E31">
            <v>0.40212443095599393</v>
          </cell>
          <cell r="F31">
            <v>0.38536585365853648</v>
          </cell>
        </row>
        <row r="32">
          <cell r="C32" t="str">
            <v>Bosnia and Herzegovina</v>
          </cell>
          <cell r="D32">
            <v>5.4298642533936681E-2</v>
          </cell>
          <cell r="E32">
            <v>0.1359447004608294</v>
          </cell>
          <cell r="F32">
            <v>-8.9912280701754388E-2</v>
          </cell>
        </row>
        <row r="33">
          <cell r="C33" t="str">
            <v>Botswana</v>
          </cell>
          <cell r="D33">
            <v>-0.15193026151930267</v>
          </cell>
          <cell r="E33">
            <v>-0.169344870210136</v>
          </cell>
          <cell r="F33">
            <v>-8.4724005134788172E-2</v>
          </cell>
        </row>
        <row r="34">
          <cell r="C34" t="str">
            <v>Brazil</v>
          </cell>
          <cell r="D34">
            <v>-7.5837833647709463E-3</v>
          </cell>
          <cell r="E34">
            <v>-2.2331169727938138E-2</v>
          </cell>
          <cell r="F34">
            <v>-3.4572947633203732E-2</v>
          </cell>
        </row>
        <row r="35">
          <cell r="C35" t="str">
            <v>Brunei Darussalam</v>
          </cell>
          <cell r="D35">
            <v>0.28938906752411575</v>
          </cell>
          <cell r="E35">
            <v>0.1032357473035439</v>
          </cell>
          <cell r="F35">
            <v>-0.25727411944869827</v>
          </cell>
        </row>
        <row r="36">
          <cell r="C36" t="str">
            <v>Bulgaria</v>
          </cell>
          <cell r="D36">
            <v>5.0090252707581273E-2</v>
          </cell>
          <cell r="E36">
            <v>7.2164948453608213E-2</v>
          </cell>
          <cell r="F36">
            <v>-0.11414503133393017</v>
          </cell>
        </row>
        <row r="37">
          <cell r="C37" t="str">
            <v>Burkina Faso</v>
          </cell>
          <cell r="D37">
            <v>3.4623217922606919E-2</v>
          </cell>
          <cell r="E37">
            <v>2.8000000000000025E-2</v>
          </cell>
          <cell r="F37">
            <v>-4.6025104602510414E-2</v>
          </cell>
        </row>
        <row r="38">
          <cell r="C38" t="str">
            <v>Burundi</v>
          </cell>
          <cell r="D38">
            <v>0.12820512820512819</v>
          </cell>
          <cell r="E38">
            <v>0.3671875</v>
          </cell>
          <cell r="F38">
            <v>0.46721311475409832</v>
          </cell>
        </row>
        <row r="39">
          <cell r="C39" t="str">
            <v>Cambodia</v>
          </cell>
          <cell r="D39">
            <v>2.8819068255687919E-2</v>
          </cell>
          <cell r="E39">
            <v>-0.2075591216216216</v>
          </cell>
          <cell r="F39">
            <v>-0.31793842034805886</v>
          </cell>
        </row>
        <row r="40">
          <cell r="C40" t="str">
            <v>Cameroon</v>
          </cell>
          <cell r="D40">
            <v>-0.42818791946308721</v>
          </cell>
          <cell r="E40">
            <v>-0.4345070422535211</v>
          </cell>
          <cell r="F40">
            <v>-0.5370919881305638</v>
          </cell>
        </row>
        <row r="41">
          <cell r="C41" t="str">
            <v>Canada</v>
          </cell>
          <cell r="D41">
            <v>-5.914311867009181E-2</v>
          </cell>
          <cell r="E41">
            <v>-5.9716255660825612E-2</v>
          </cell>
          <cell r="F41">
            <v>-0.16180472666507517</v>
          </cell>
        </row>
        <row r="42">
          <cell r="C42" t="str">
            <v>Cape Verde</v>
          </cell>
          <cell r="D42">
            <v>0.1468373493975903</v>
          </cell>
          <cell r="E42">
            <v>6.5349544072948351E-2</v>
          </cell>
          <cell r="F42">
            <v>-0.15331278890600919</v>
          </cell>
        </row>
        <row r="43">
          <cell r="C43" t="str">
            <v>Cayman Islands</v>
          </cell>
          <cell r="D43">
            <v>-4.1186161449753289E-3</v>
          </cell>
          <cell r="E43">
            <v>-7.2289156626506035E-3</v>
          </cell>
          <cell r="F43">
            <v>-5.4074074074074052E-2</v>
          </cell>
        </row>
        <row r="44">
          <cell r="C44" t="str">
            <v>Central African Republic</v>
          </cell>
          <cell r="D44">
            <v>-0.12121212121212122</v>
          </cell>
          <cell r="E44">
            <v>-5.6910569105691033E-2</v>
          </cell>
          <cell r="F44">
            <v>-0.12295081967213117</v>
          </cell>
        </row>
        <row r="45">
          <cell r="C45" t="str">
            <v>Chad</v>
          </cell>
          <cell r="D45">
            <v>-0.15211267605633805</v>
          </cell>
          <cell r="E45">
            <v>-9.7264437689969618E-2</v>
          </cell>
          <cell r="F45">
            <v>-0.24213836477987416</v>
          </cell>
        </row>
        <row r="46">
          <cell r="C46" t="str">
            <v>Chile</v>
          </cell>
          <cell r="D46">
            <v>-7.5543685616177303E-3</v>
          </cell>
          <cell r="E46">
            <v>5.9212024595765023E-3</v>
          </cell>
          <cell r="F46">
            <v>-4.9102669217454653E-2</v>
          </cell>
        </row>
        <row r="47">
          <cell r="C47" t="str">
            <v>China</v>
          </cell>
          <cell r="D47">
            <v>4.3075050691720129E-2</v>
          </cell>
          <cell r="E47">
            <v>-0.55059393553577984</v>
          </cell>
          <cell r="F47">
            <v>-0.40207280175896865</v>
          </cell>
        </row>
        <row r="48">
          <cell r="C48" t="str">
            <v>Chinese Taipei</v>
          </cell>
          <cell r="D48">
            <v>6.4305996325371595E-2</v>
          </cell>
          <cell r="E48">
            <v>-0.25147752534837065</v>
          </cell>
          <cell r="F48">
            <v>-0.51735976521402072</v>
          </cell>
        </row>
        <row r="49">
          <cell r="C49" t="str">
            <v>Christmas Island, Indian Ocean</v>
          </cell>
          <cell r="D49">
            <v>0</v>
          </cell>
          <cell r="E49">
            <v>-0.19999999999999996</v>
          </cell>
          <cell r="F49">
            <v>-0.19999999999999996</v>
          </cell>
        </row>
        <row r="50">
          <cell r="C50" t="str">
            <v>Cocos (keeling) Islands</v>
          </cell>
          <cell r="D50">
            <v>0</v>
          </cell>
          <cell r="E50">
            <v>0</v>
          </cell>
          <cell r="F50">
            <v>0</v>
          </cell>
        </row>
        <row r="51">
          <cell r="C51" t="str">
            <v>Colombia</v>
          </cell>
          <cell r="D51">
            <v>5.5481052913904705E-2</v>
          </cell>
          <cell r="E51">
            <v>8.5862557005818463E-2</v>
          </cell>
          <cell r="F51">
            <v>5.4704595185995686E-2</v>
          </cell>
        </row>
        <row r="52">
          <cell r="C52" t="str">
            <v>Comoros</v>
          </cell>
          <cell r="D52">
            <v>-0.51669595782073818</v>
          </cell>
          <cell r="E52">
            <v>-0.52879581151832467</v>
          </cell>
          <cell r="F52">
            <v>-0.47801147227533458</v>
          </cell>
        </row>
        <row r="53">
          <cell r="C53" t="str">
            <v>Congo</v>
          </cell>
          <cell r="D53">
            <v>-0.14678899082568808</v>
          </cell>
          <cell r="E53">
            <v>-0.11338582677165354</v>
          </cell>
          <cell r="F53">
            <v>-0.22698412698412695</v>
          </cell>
        </row>
        <row r="54">
          <cell r="C54" t="str">
            <v>Congo Democratic Republic of</v>
          </cell>
          <cell r="D54">
            <v>0.42634450506625088</v>
          </cell>
          <cell r="E54">
            <v>0.46367346938775511</v>
          </cell>
          <cell r="F54">
            <v>0.63454545454545452</v>
          </cell>
        </row>
        <row r="55">
          <cell r="C55" t="str">
            <v>Cook Islands</v>
          </cell>
          <cell r="D55">
            <v>-2.4137931034482807E-2</v>
          </cell>
          <cell r="E55">
            <v>-9.3385214007782102E-2</v>
          </cell>
          <cell r="F55">
            <v>-0.10370370370370374</v>
          </cell>
        </row>
        <row r="56">
          <cell r="C56" t="str">
            <v>Costa Rica</v>
          </cell>
          <cell r="D56">
            <v>0.12154599510318298</v>
          </cell>
          <cell r="E56">
            <v>0.15053200767486485</v>
          </cell>
          <cell r="F56">
            <v>3.0787963124021545E-2</v>
          </cell>
        </row>
        <row r="57">
          <cell r="C57" t="str">
            <v>Cote D'Ivoire</v>
          </cell>
          <cell r="D57">
            <v>-0.47928176795580113</v>
          </cell>
          <cell r="E57">
            <v>-0.4665242165242165</v>
          </cell>
          <cell r="F57">
            <v>-0.55090252707581233</v>
          </cell>
        </row>
        <row r="58">
          <cell r="C58" t="str">
            <v>Croatia</v>
          </cell>
          <cell r="D58">
            <v>-4.3248945147679296E-2</v>
          </cell>
          <cell r="E58">
            <v>-1.329080276448702E-2</v>
          </cell>
          <cell r="F58">
            <v>-0.16784630940343781</v>
          </cell>
        </row>
        <row r="59">
          <cell r="C59" t="str">
            <v>Cuba</v>
          </cell>
          <cell r="D59">
            <v>-0.1130702490904002</v>
          </cell>
          <cell r="E59">
            <v>-0.11068068622025462</v>
          </cell>
          <cell r="F59">
            <v>-0.16932648093048419</v>
          </cell>
        </row>
        <row r="60">
          <cell r="C60" t="str">
            <v>Curacao</v>
          </cell>
          <cell r="D60">
            <v>0.29075804776739367</v>
          </cell>
          <cell r="E60">
            <v>0.38612716763005772</v>
          </cell>
          <cell r="F60">
            <v>0.52835408022130004</v>
          </cell>
        </row>
        <row r="61">
          <cell r="C61" t="str">
            <v>Cyprus</v>
          </cell>
          <cell r="D61">
            <v>5.5225148683092584E-2</v>
          </cell>
          <cell r="E61">
            <v>6.144329896907208E-2</v>
          </cell>
          <cell r="F61">
            <v>-0.17717003567181921</v>
          </cell>
        </row>
        <row r="62">
          <cell r="C62" t="str">
            <v>Czech Republic</v>
          </cell>
          <cell r="D62">
            <v>-1.5837104072398245E-2</v>
          </cell>
          <cell r="E62">
            <v>-2.7751423149905086E-2</v>
          </cell>
          <cell r="F62">
            <v>-0.31313131313131315</v>
          </cell>
        </row>
        <row r="63">
          <cell r="C63" t="str">
            <v>Denmark</v>
          </cell>
          <cell r="D63">
            <v>2.4107911604324128E-2</v>
          </cell>
          <cell r="E63">
            <v>-1.1595754170011796E-3</v>
          </cell>
          <cell r="F63">
            <v>-0.24797798715917618</v>
          </cell>
        </row>
        <row r="64">
          <cell r="C64" t="str">
            <v>Djibouti</v>
          </cell>
          <cell r="D64">
            <v>-0.23584905660377353</v>
          </cell>
          <cell r="E64">
            <v>-0.36745406824146987</v>
          </cell>
          <cell r="F64">
            <v>-0.55163043478260865</v>
          </cell>
        </row>
        <row r="65">
          <cell r="C65" t="str">
            <v>Dominica</v>
          </cell>
          <cell r="D65">
            <v>0.15094339622641506</v>
          </cell>
          <cell r="E65">
            <v>0.16825396825396832</v>
          </cell>
          <cell r="F65">
            <v>0.17034700315457418</v>
          </cell>
        </row>
        <row r="66">
          <cell r="C66" t="str">
            <v>Dominican Republic</v>
          </cell>
          <cell r="D66">
            <v>-2.9197080291970767E-2</v>
          </cell>
          <cell r="E66">
            <v>-5.4898248935163263E-2</v>
          </cell>
          <cell r="F66">
            <v>-0.13718329148596209</v>
          </cell>
        </row>
        <row r="67">
          <cell r="C67" t="str">
            <v>Ecuador</v>
          </cell>
          <cell r="D67">
            <v>4.4198895027625085E-3</v>
          </cell>
          <cell r="E67">
            <v>-4.8715677590788209E-3</v>
          </cell>
          <cell r="F67">
            <v>-0.14267515923566876</v>
          </cell>
        </row>
        <row r="68">
          <cell r="C68" t="str">
            <v>Egypt</v>
          </cell>
          <cell r="D68">
            <v>8.7005269649063743E-2</v>
          </cell>
          <cell r="E68">
            <v>5.6647784071975904E-2</v>
          </cell>
          <cell r="F68">
            <v>-0.16570220342755393</v>
          </cell>
        </row>
        <row r="69">
          <cell r="C69" t="str">
            <v>El Salvador</v>
          </cell>
          <cell r="D69">
            <v>-3.3105622700998372E-2</v>
          </cell>
          <cell r="E69">
            <v>-4.6325878594249192E-2</v>
          </cell>
          <cell r="F69">
            <v>-0.23010752688172043</v>
          </cell>
        </row>
        <row r="70">
          <cell r="C70" t="str">
            <v>Equatorial Guinea</v>
          </cell>
          <cell r="D70">
            <v>7.6461769115442335E-2</v>
          </cell>
          <cell r="E70">
            <v>6.794682422452003E-2</v>
          </cell>
          <cell r="F70">
            <v>8.2942097026604156E-2</v>
          </cell>
        </row>
        <row r="71">
          <cell r="C71" t="str">
            <v>Eritrea</v>
          </cell>
          <cell r="D71">
            <v>-7.9787234042553168E-2</v>
          </cell>
          <cell r="E71">
            <v>1.7543859649122862E-2</v>
          </cell>
          <cell r="F71">
            <v>7.1428571428571175E-3</v>
          </cell>
        </row>
        <row r="72">
          <cell r="C72" t="str">
            <v>Estonia</v>
          </cell>
          <cell r="D72">
            <v>-7.8363384188626872E-2</v>
          </cell>
          <cell r="E72">
            <v>-5.7104010876954492E-2</v>
          </cell>
          <cell r="F72">
            <v>-0.23367003367003369</v>
          </cell>
        </row>
        <row r="73">
          <cell r="C73" t="str">
            <v>Eswatini</v>
          </cell>
          <cell r="D73">
            <v>-0.43902439024390238</v>
          </cell>
          <cell r="E73">
            <v>-0.27173913043478259</v>
          </cell>
          <cell r="F73">
            <v>-0.25274725274725274</v>
          </cell>
        </row>
        <row r="74">
          <cell r="C74" t="str">
            <v>Ethiopia</v>
          </cell>
          <cell r="D74">
            <v>0.14178001182732114</v>
          </cell>
          <cell r="E74">
            <v>0.13537579233323283</v>
          </cell>
          <cell r="F74">
            <v>3.0616839261593976E-2</v>
          </cell>
        </row>
        <row r="75">
          <cell r="C75" t="str">
            <v>Falkland Islands</v>
          </cell>
          <cell r="D75">
            <v>0.55555555555555558</v>
          </cell>
          <cell r="E75">
            <v>0.55555555555555558</v>
          </cell>
          <cell r="F75">
            <v>0.5</v>
          </cell>
        </row>
        <row r="76">
          <cell r="C76" t="str">
            <v>Faroe Islands</v>
          </cell>
          <cell r="D76">
            <v>0.3052631578947369</v>
          </cell>
          <cell r="E76">
            <v>0.34736842105263155</v>
          </cell>
          <cell r="F76">
            <v>1.980198019801982E-2</v>
          </cell>
        </row>
        <row r="77">
          <cell r="C77" t="str">
            <v>Fiji</v>
          </cell>
          <cell r="D77">
            <v>-2.9342723004694982E-3</v>
          </cell>
          <cell r="E77">
            <v>-5.2393272962483861E-2</v>
          </cell>
          <cell r="F77">
            <v>-0.11869814932992984</v>
          </cell>
        </row>
        <row r="78">
          <cell r="C78" t="str">
            <v>Finland</v>
          </cell>
          <cell r="D78">
            <v>-6.121824303642498E-3</v>
          </cell>
          <cell r="E78">
            <v>-1.1028674553840156E-3</v>
          </cell>
          <cell r="F78">
            <v>-0.17699738377943253</v>
          </cell>
        </row>
        <row r="79">
          <cell r="C79" t="str">
            <v>France</v>
          </cell>
          <cell r="D79">
            <v>-8.0928196870225788E-3</v>
          </cell>
          <cell r="E79">
            <v>3.808912856083202E-3</v>
          </cell>
          <cell r="F79">
            <v>-0.15285113929907079</v>
          </cell>
        </row>
        <row r="80">
          <cell r="C80" t="str">
            <v>French Guiana</v>
          </cell>
          <cell r="D80">
            <v>-0.14619883040935677</v>
          </cell>
          <cell r="E80">
            <v>-0.14948453608247425</v>
          </cell>
          <cell r="F80">
            <v>-0.20218579234972678</v>
          </cell>
        </row>
        <row r="81">
          <cell r="C81" t="str">
            <v>French Polynesia</v>
          </cell>
          <cell r="D81">
            <v>7.4931880108991766E-2</v>
          </cell>
          <cell r="E81">
            <v>4.0389150943396235E-2</v>
          </cell>
          <cell r="F81">
            <v>3.3704483900090176E-2</v>
          </cell>
        </row>
        <row r="82">
          <cell r="C82" t="str">
            <v>Gabon</v>
          </cell>
          <cell r="D82">
            <v>-6.9920844327176823E-2</v>
          </cell>
          <cell r="E82">
            <v>3.6935704514363898E-2</v>
          </cell>
          <cell r="F82">
            <v>-9.695290858725758E-2</v>
          </cell>
        </row>
        <row r="83">
          <cell r="C83" t="str">
            <v>Gambia</v>
          </cell>
          <cell r="D83">
            <v>-5.3191489361702149E-2</v>
          </cell>
          <cell r="E83">
            <v>-4.3956043956043911E-2</v>
          </cell>
          <cell r="F83">
            <v>-0.18206521739130432</v>
          </cell>
        </row>
        <row r="84">
          <cell r="C84" t="str">
            <v>Georgia</v>
          </cell>
          <cell r="D84">
            <v>-0.11591072714182871</v>
          </cell>
          <cell r="E84">
            <v>-0.13703703703703707</v>
          </cell>
          <cell r="F84">
            <v>-0.34832992501704163</v>
          </cell>
        </row>
        <row r="85">
          <cell r="C85" t="str">
            <v>Germany</v>
          </cell>
          <cell r="D85">
            <v>-8.5473138927343317E-2</v>
          </cell>
          <cell r="E85">
            <v>-6.8738458895775789E-2</v>
          </cell>
          <cell r="F85">
            <v>-0.307230451159761</v>
          </cell>
        </row>
        <row r="86">
          <cell r="C86" t="str">
            <v>Ghana</v>
          </cell>
          <cell r="D86">
            <v>0.3376483279395901</v>
          </cell>
          <cell r="E86">
            <v>0.33024017467248901</v>
          </cell>
          <cell r="F86">
            <v>0.17100371747211907</v>
          </cell>
        </row>
        <row r="87">
          <cell r="C87" t="str">
            <v>Gibraltar</v>
          </cell>
          <cell r="D87">
            <v>-6.3829787234042534E-2</v>
          </cell>
          <cell r="E87">
            <v>-0.13385826771653542</v>
          </cell>
          <cell r="F87">
            <v>-0.1875</v>
          </cell>
        </row>
        <row r="88">
          <cell r="C88" t="str">
            <v>Greece</v>
          </cell>
          <cell r="D88">
            <v>-5.3151683776264003E-2</v>
          </cell>
          <cell r="E88">
            <v>-6.0519554667427866E-2</v>
          </cell>
          <cell r="F88">
            <v>-0.2047829771207984</v>
          </cell>
        </row>
        <row r="89">
          <cell r="C89" t="str">
            <v>Greenland</v>
          </cell>
          <cell r="D89">
            <v>7.9123554473524038E-2</v>
          </cell>
          <cell r="E89">
            <v>2.6517383618149593E-2</v>
          </cell>
          <cell r="F89">
            <v>-0.18753509264458168</v>
          </cell>
        </row>
        <row r="90">
          <cell r="C90" t="str">
            <v>Grenada, Windward Islands</v>
          </cell>
          <cell r="D90">
            <v>6.643356643356646E-2</v>
          </cell>
          <cell r="E90">
            <v>7.7464788732394263E-2</v>
          </cell>
          <cell r="F90">
            <v>2.8169014084507005E-2</v>
          </cell>
        </row>
        <row r="91">
          <cell r="C91" t="str">
            <v>Guadeloupe</v>
          </cell>
          <cell r="D91">
            <v>-3.2148900169204686E-2</v>
          </cell>
          <cell r="E91">
            <v>-8.2304526748970819E-3</v>
          </cell>
          <cell r="F91">
            <v>-7.795473595976532E-2</v>
          </cell>
        </row>
        <row r="92">
          <cell r="C92" t="str">
            <v>Guam</v>
          </cell>
          <cell r="D92">
            <v>8.783783783783794E-2</v>
          </cell>
          <cell r="E92">
            <v>5.212355212355213E-2</v>
          </cell>
          <cell r="F92">
            <v>-0.21161048689138573</v>
          </cell>
        </row>
        <row r="93">
          <cell r="C93" t="str">
            <v>Guatemala</v>
          </cell>
          <cell r="D93">
            <v>-5.3059014618299982E-2</v>
          </cell>
          <cell r="E93">
            <v>-3.6283672347443674E-2</v>
          </cell>
          <cell r="F93">
            <v>-0.13206521739130439</v>
          </cell>
        </row>
        <row r="94">
          <cell r="C94" t="str">
            <v>Guinea</v>
          </cell>
          <cell r="D94">
            <v>0.1081967213114754</v>
          </cell>
          <cell r="E94">
            <v>1.577287066246047E-2</v>
          </cell>
          <cell r="F94">
            <v>-0.16346153846153844</v>
          </cell>
        </row>
        <row r="95">
          <cell r="C95" t="str">
            <v>Guinea-Bissau</v>
          </cell>
          <cell r="D95">
            <v>0.35779816513761475</v>
          </cell>
          <cell r="E95">
            <v>0.29126213592233019</v>
          </cell>
          <cell r="F95">
            <v>0.12000000000000011</v>
          </cell>
        </row>
        <row r="96">
          <cell r="C96" t="str">
            <v>Guyana</v>
          </cell>
          <cell r="D96">
            <v>9.1439688715953205E-2</v>
          </cell>
          <cell r="E96">
            <v>0.25754527162977858</v>
          </cell>
          <cell r="F96">
            <v>0.57677165354330717</v>
          </cell>
        </row>
        <row r="97">
          <cell r="C97" t="str">
            <v>Haiti</v>
          </cell>
          <cell r="D97">
            <v>0.24827586206896557</v>
          </cell>
          <cell r="E97">
            <v>0.42957746478873249</v>
          </cell>
          <cell r="F97">
            <v>0.32326820603907636</v>
          </cell>
        </row>
        <row r="98">
          <cell r="C98" t="str">
            <v>Honduras</v>
          </cell>
          <cell r="D98">
            <v>0.359749739311783</v>
          </cell>
          <cell r="E98">
            <v>0.38632750397456284</v>
          </cell>
          <cell r="F98">
            <v>0.30382399161864848</v>
          </cell>
        </row>
        <row r="99">
          <cell r="C99" t="str">
            <v>Hong Kong (sar) China</v>
          </cell>
          <cell r="D99">
            <v>-9.6808510638297873E-2</v>
          </cell>
          <cell r="E99">
            <v>-0.4648352374034207</v>
          </cell>
          <cell r="F99">
            <v>-0.77604830593760488</v>
          </cell>
        </row>
        <row r="100">
          <cell r="C100" t="str">
            <v>Hungary</v>
          </cell>
          <cell r="D100">
            <v>0.11664295874822184</v>
          </cell>
          <cell r="E100">
            <v>9.5864146809093498E-2</v>
          </cell>
          <cell r="F100">
            <v>-0.10250329380764167</v>
          </cell>
        </row>
        <row r="101">
          <cell r="C101" t="str">
            <v>Iceland</v>
          </cell>
          <cell r="D101">
            <v>-0.21943448825169254</v>
          </cell>
          <cell r="E101">
            <v>-0.21409108602569094</v>
          </cell>
          <cell r="F101">
            <v>-0.21042471042471045</v>
          </cell>
        </row>
        <row r="102">
          <cell r="C102" t="str">
            <v>India</v>
          </cell>
          <cell r="D102">
            <v>2.104409477785385E-2</v>
          </cell>
          <cell r="E102">
            <v>6.3190386182738756E-2</v>
          </cell>
          <cell r="F102">
            <v>7.56222858226272E-2</v>
          </cell>
        </row>
        <row r="103">
          <cell r="C103" t="str">
            <v>Indonesia</v>
          </cell>
          <cell r="D103">
            <v>7.7870998380478174E-2</v>
          </cell>
          <cell r="E103">
            <v>6.1881188118811936E-2</v>
          </cell>
          <cell r="F103">
            <v>7.1970559223006214E-2</v>
          </cell>
        </row>
        <row r="104">
          <cell r="C104" t="str">
            <v>Iran Islamic Republic of</v>
          </cell>
          <cell r="D104">
            <v>-0.18944412442396308</v>
          </cell>
          <cell r="E104">
            <v>-0.16578693033975167</v>
          </cell>
          <cell r="F104">
            <v>-0.20207808083123235</v>
          </cell>
        </row>
        <row r="105">
          <cell r="C105" t="str">
            <v>Iraq</v>
          </cell>
          <cell r="D105">
            <v>6.5397605158120875E-2</v>
          </cell>
          <cell r="E105">
            <v>3.5790112223233139E-2</v>
          </cell>
          <cell r="F105">
            <v>-0.29206049149338376</v>
          </cell>
        </row>
        <row r="106">
          <cell r="C106" t="str">
            <v>Ireland Republic of</v>
          </cell>
          <cell r="D106">
            <v>-4.1229909154437472E-2</v>
          </cell>
          <cell r="E106">
            <v>-1.9502353732346989E-2</v>
          </cell>
          <cell r="F106">
            <v>-0.16771465741543801</v>
          </cell>
        </row>
        <row r="107">
          <cell r="C107" t="str">
            <v>Israel</v>
          </cell>
          <cell r="D107">
            <v>-5.3505535055350384E-3</v>
          </cell>
          <cell r="E107">
            <v>-8.8121901964384186E-3</v>
          </cell>
          <cell r="F107">
            <v>-0.37060478199718705</v>
          </cell>
        </row>
        <row r="108">
          <cell r="C108" t="str">
            <v>Italy</v>
          </cell>
          <cell r="D108">
            <v>-3.2709124834206293E-2</v>
          </cell>
          <cell r="E108">
            <v>-4.2005095485922128E-2</v>
          </cell>
          <cell r="F108">
            <v>-0.48031513105209622</v>
          </cell>
        </row>
        <row r="109">
          <cell r="C109" t="str">
            <v>Jamaica</v>
          </cell>
          <cell r="D109">
            <v>0.76489193463363203</v>
          </cell>
          <cell r="E109">
            <v>0.68093781855249746</v>
          </cell>
          <cell r="F109">
            <v>0.48878048780487804</v>
          </cell>
        </row>
        <row r="110">
          <cell r="C110" t="str">
            <v>Japan</v>
          </cell>
          <cell r="D110">
            <v>2.3770007275372818E-2</v>
          </cell>
          <cell r="E110">
            <v>-3.5256808152854702E-2</v>
          </cell>
          <cell r="F110">
            <v>-0.16548267645183301</v>
          </cell>
        </row>
        <row r="111">
          <cell r="C111" t="str">
            <v>Jordan</v>
          </cell>
          <cell r="D111">
            <v>2.329814342919545E-2</v>
          </cell>
          <cell r="E111">
            <v>5.8097312999274564E-3</v>
          </cell>
          <cell r="F111">
            <v>-0.28820326678765884</v>
          </cell>
        </row>
        <row r="112">
          <cell r="C112" t="str">
            <v>Kazakhstan</v>
          </cell>
          <cell r="D112">
            <v>-1.7838030681412764E-2</v>
          </cell>
          <cell r="E112">
            <v>-4.8387096774193505E-2</v>
          </cell>
          <cell r="F112">
            <v>-0.23783401167934881</v>
          </cell>
        </row>
        <row r="113">
          <cell r="C113" t="str">
            <v>Kenya</v>
          </cell>
          <cell r="D113">
            <v>-0.26940228446252545</v>
          </cell>
          <cell r="E113">
            <v>-0.23519797327667225</v>
          </cell>
          <cell r="F113">
            <v>-0.29726694122051667</v>
          </cell>
        </row>
        <row r="114">
          <cell r="C114" t="str">
            <v>Kiribati</v>
          </cell>
          <cell r="D114">
            <v>3.7974683544303778E-2</v>
          </cell>
          <cell r="E114">
            <v>2.5104602510460206E-2</v>
          </cell>
          <cell r="F114">
            <v>1.6806722689075571E-2</v>
          </cell>
        </row>
        <row r="115">
          <cell r="C115" t="str">
            <v>Korea Democratic People's Republic of</v>
          </cell>
          <cell r="D115">
            <v>-0.18518518518518523</v>
          </cell>
          <cell r="E115">
            <v>-0.22580645161290325</v>
          </cell>
          <cell r="F115">
            <v>-0.27777777777777779</v>
          </cell>
        </row>
        <row r="116">
          <cell r="C116" t="str">
            <v>Korea Republic of</v>
          </cell>
          <cell r="D116">
            <v>2.1545516004820575E-2</v>
          </cell>
          <cell r="E116">
            <v>-0.11559068950373297</v>
          </cell>
          <cell r="F116">
            <v>-0.49476674641148322</v>
          </cell>
        </row>
        <row r="117">
          <cell r="C117" t="str">
            <v>Kuwait</v>
          </cell>
          <cell r="D117">
            <v>0.11024917724494587</v>
          </cell>
          <cell r="E117">
            <v>7.3041474654377936E-2</v>
          </cell>
          <cell r="F117">
            <v>-0.18998109640831762</v>
          </cell>
        </row>
        <row r="118">
          <cell r="C118" t="str">
            <v>Kyrgyzstan</v>
          </cell>
          <cell r="D118">
            <v>2.8907922912205564E-2</v>
          </cell>
          <cell r="E118">
            <v>0.10441334768568344</v>
          </cell>
          <cell r="F118">
            <v>-0.15874730021598271</v>
          </cell>
        </row>
        <row r="119">
          <cell r="C119" t="str">
            <v>Lao People's Democratic Republic</v>
          </cell>
          <cell r="D119">
            <v>-1.0873942811115533E-2</v>
          </cell>
          <cell r="E119">
            <v>-0.10360360360360366</v>
          </cell>
          <cell r="F119">
            <v>-0.26165594855305463</v>
          </cell>
        </row>
        <row r="120">
          <cell r="C120" t="str">
            <v>Latvia</v>
          </cell>
          <cell r="D120">
            <v>2.0579268292682862E-2</v>
          </cell>
          <cell r="E120">
            <v>2.1472392638036908E-2</v>
          </cell>
          <cell r="F120">
            <v>-0.20377218934911245</v>
          </cell>
        </row>
        <row r="121">
          <cell r="C121" t="str">
            <v>Lebanon</v>
          </cell>
          <cell r="D121">
            <v>-6.9213483146067456E-2</v>
          </cell>
          <cell r="E121">
            <v>-8.0502559329920897E-2</v>
          </cell>
          <cell r="F121">
            <v>-0.38775510204081631</v>
          </cell>
        </row>
        <row r="122">
          <cell r="C122" t="str">
            <v>Lesotho</v>
          </cell>
          <cell r="D122">
            <v>-6.0240963855421659E-2</v>
          </cell>
          <cell r="E122">
            <v>-9.5238095238095233E-2</v>
          </cell>
          <cell r="F122">
            <v>-0.2142857142857143</v>
          </cell>
        </row>
        <row r="123">
          <cell r="C123" t="str">
            <v>Liberia</v>
          </cell>
          <cell r="D123">
            <v>2.5380710659898442E-2</v>
          </cell>
          <cell r="E123">
            <v>4.7120418848167533E-2</v>
          </cell>
          <cell r="F123">
            <v>-9.375E-2</v>
          </cell>
        </row>
        <row r="124">
          <cell r="C124" t="str">
            <v>Libya</v>
          </cell>
          <cell r="D124">
            <v>0.62182741116751261</v>
          </cell>
          <cell r="E124">
            <v>4.9295774647887258E-2</v>
          </cell>
          <cell r="F124">
            <v>9.8522167487684831E-2</v>
          </cell>
        </row>
        <row r="125">
          <cell r="C125" t="str">
            <v>Lithuania</v>
          </cell>
          <cell r="D125">
            <v>2.8752156411730789E-2</v>
          </cell>
          <cell r="E125">
            <v>2.6643990929705152E-2</v>
          </cell>
          <cell r="F125">
            <v>-0.18135878719820331</v>
          </cell>
        </row>
        <row r="126">
          <cell r="C126" t="str">
            <v>Luxembourg</v>
          </cell>
          <cell r="D126">
            <v>6.2061521856449087E-2</v>
          </cell>
          <cell r="E126">
            <v>6.2181447502548393E-2</v>
          </cell>
          <cell r="F126">
            <v>-0.24380165289256195</v>
          </cell>
        </row>
        <row r="127">
          <cell r="C127" t="str">
            <v>Macao (sar) China</v>
          </cell>
          <cell r="D127">
            <v>0.11851851851851847</v>
          </cell>
          <cell r="E127">
            <v>-0.49159043965771609</v>
          </cell>
          <cell r="F127">
            <v>-0.64110429447852768</v>
          </cell>
        </row>
        <row r="128">
          <cell r="C128" t="str">
            <v>Macedonia Former Yugoslav Republic of</v>
          </cell>
          <cell r="D128">
            <v>0.12477064220183487</v>
          </cell>
          <cell r="E128">
            <v>0.12686567164179108</v>
          </cell>
          <cell r="F128">
            <v>-1.9642857142857184E-2</v>
          </cell>
        </row>
        <row r="129">
          <cell r="C129" t="str">
            <v>Madagascar</v>
          </cell>
          <cell r="D129">
            <v>3.3884297520661244E-2</v>
          </cell>
          <cell r="E129">
            <v>-3.8200339558573826E-2</v>
          </cell>
          <cell r="F129">
            <v>2.7801179443976309E-2</v>
          </cell>
        </row>
        <row r="130">
          <cell r="C130" t="str">
            <v>Malawi</v>
          </cell>
          <cell r="D130">
            <v>-9.9133782483156851E-2</v>
          </cell>
          <cell r="E130">
            <v>-1.5837104072398245E-2</v>
          </cell>
          <cell r="F130">
            <v>0.49359886201991454</v>
          </cell>
        </row>
        <row r="131">
          <cell r="C131" t="str">
            <v>Malaysia</v>
          </cell>
          <cell r="D131">
            <v>8.3461629559450579E-2</v>
          </cell>
          <cell r="E131">
            <v>-2.5501174968812546E-2</v>
          </cell>
          <cell r="F131">
            <v>-0.28241267617963761</v>
          </cell>
        </row>
        <row r="132">
          <cell r="C132" t="str">
            <v>Maldives</v>
          </cell>
          <cell r="D132">
            <v>0.37625387561553891</v>
          </cell>
          <cell r="E132">
            <v>0.31257987949607458</v>
          </cell>
          <cell r="F132">
            <v>0.23110110673419615</v>
          </cell>
        </row>
        <row r="133">
          <cell r="C133" t="str">
            <v>Mali</v>
          </cell>
          <cell r="D133">
            <v>0.1018099547511313</v>
          </cell>
          <cell r="E133">
            <v>0.14418604651162781</v>
          </cell>
          <cell r="F133">
            <v>-1.6786570743405282E-2</v>
          </cell>
        </row>
        <row r="134">
          <cell r="C134" t="str">
            <v>Malta</v>
          </cell>
          <cell r="D134">
            <v>8.3644510828976948E-2</v>
          </cell>
          <cell r="E134">
            <v>0.10596026490066235</v>
          </cell>
          <cell r="F134">
            <v>-0.25050369375419745</v>
          </cell>
        </row>
        <row r="135">
          <cell r="C135" t="str">
            <v>Marshall Islands</v>
          </cell>
          <cell r="D135">
            <v>-0.53212851405622486</v>
          </cell>
          <cell r="E135">
            <v>-0.29666666666666663</v>
          </cell>
          <cell r="F135">
            <v>-6.481481481481477E-2</v>
          </cell>
        </row>
        <row r="136">
          <cell r="C136" t="str">
            <v>Martinique</v>
          </cell>
          <cell r="D136">
            <v>-5.2194543297746199E-2</v>
          </cell>
          <cell r="E136">
            <v>-6.2358276643990962E-2</v>
          </cell>
          <cell r="F136">
            <v>-0.12296983758700697</v>
          </cell>
        </row>
        <row r="137">
          <cell r="C137" t="str">
            <v>Mauritania</v>
          </cell>
          <cell r="D137">
            <v>0.12918660287081329</v>
          </cell>
          <cell r="E137">
            <v>0.15970515970515975</v>
          </cell>
          <cell r="F137">
            <v>-1.7073170731707332E-2</v>
          </cell>
        </row>
        <row r="138">
          <cell r="C138" t="str">
            <v>Mauritius</v>
          </cell>
          <cell r="D138">
            <v>-1.5477214101461745E-2</v>
          </cell>
          <cell r="E138">
            <v>-3.3431661750245811E-2</v>
          </cell>
          <cell r="F138">
            <v>-0.12897016361886426</v>
          </cell>
        </row>
        <row r="139">
          <cell r="C139" t="str">
            <v>Mayotte</v>
          </cell>
          <cell r="D139">
            <v>-0.24285714285714288</v>
          </cell>
          <cell r="E139">
            <v>-0.28908554572271383</v>
          </cell>
          <cell r="F139">
            <v>-0.18633540372670809</v>
          </cell>
        </row>
        <row r="140">
          <cell r="C140" t="str">
            <v>Mexico</v>
          </cell>
          <cell r="D140">
            <v>3.5966233354470578E-2</v>
          </cell>
          <cell r="E140">
            <v>3.1006066833982215E-2</v>
          </cell>
          <cell r="F140">
            <v>-2.4694682180978922E-2</v>
          </cell>
        </row>
        <row r="141">
          <cell r="C141" t="str">
            <v>Micronesia Federated States of</v>
          </cell>
          <cell r="D141">
            <v>-9.4594594594594628E-2</v>
          </cell>
          <cell r="E141">
            <v>-0.1216216216216216</v>
          </cell>
          <cell r="F141">
            <v>-0.25524475524475521</v>
          </cell>
        </row>
        <row r="142">
          <cell r="C142" t="str">
            <v>Moldova Republic of</v>
          </cell>
          <cell r="D142">
            <v>-0.11111111111111116</v>
          </cell>
          <cell r="E142">
            <v>-0.12128418549346021</v>
          </cell>
          <cell r="F142">
            <v>-0.26252983293556087</v>
          </cell>
        </row>
        <row r="143">
          <cell r="C143" t="str">
            <v>Monaco</v>
          </cell>
          <cell r="D143">
            <v>1.9083969465649719E-3</v>
          </cell>
          <cell r="E143">
            <v>5.3667262969587792E-3</v>
          </cell>
          <cell r="F143">
            <v>1.632302405498276E-2</v>
          </cell>
        </row>
        <row r="144">
          <cell r="C144" t="str">
            <v>Mongolia</v>
          </cell>
          <cell r="D144">
            <v>-0.37605396290050586</v>
          </cell>
          <cell r="E144">
            <v>-0.28601694915254239</v>
          </cell>
          <cell r="F144">
            <v>-0.57059961315280461</v>
          </cell>
        </row>
        <row r="145">
          <cell r="C145" t="str">
            <v>Montenegro</v>
          </cell>
          <cell r="D145">
            <v>1.8145161290322509E-2</v>
          </cell>
          <cell r="E145">
            <v>3.7422037422037313E-2</v>
          </cell>
          <cell r="F145">
            <v>-0.22403258655804481</v>
          </cell>
        </row>
        <row r="146">
          <cell r="C146" t="str">
            <v>Montserrat, Leeward Islands</v>
          </cell>
          <cell r="D146">
            <v>0</v>
          </cell>
          <cell r="E146">
            <v>2.3809523809523725E-2</v>
          </cell>
          <cell r="F146">
            <v>0</v>
          </cell>
        </row>
        <row r="147">
          <cell r="C147" t="str">
            <v>Morocco</v>
          </cell>
          <cell r="D147">
            <v>5.5678418108494832E-2</v>
          </cell>
          <cell r="E147">
            <v>5.6928740468051631E-2</v>
          </cell>
          <cell r="F147">
            <v>-0.18998965338851526</v>
          </cell>
        </row>
        <row r="148">
          <cell r="C148" t="str">
            <v>Mozambique</v>
          </cell>
          <cell r="D148">
            <v>1.4130946773434072E-3</v>
          </cell>
          <cell r="E148">
            <v>-4.1983028137561385E-2</v>
          </cell>
          <cell r="F148">
            <v>-0.15914893617021275</v>
          </cell>
        </row>
        <row r="149">
          <cell r="C149" t="str">
            <v>Myanmar</v>
          </cell>
          <cell r="D149">
            <v>5.4266398684450934E-2</v>
          </cell>
          <cell r="E149">
            <v>-2.0478123590437547E-2</v>
          </cell>
          <cell r="F149">
            <v>-0.10550703974336129</v>
          </cell>
        </row>
        <row r="150">
          <cell r="C150" t="str">
            <v>Namibia</v>
          </cell>
          <cell r="D150">
            <v>-0.39303482587064675</v>
          </cell>
          <cell r="E150">
            <v>-0.40211311373523928</v>
          </cell>
          <cell r="F150">
            <v>-0.41630094043887145</v>
          </cell>
        </row>
        <row r="151">
          <cell r="C151" t="str">
            <v>Nauru</v>
          </cell>
          <cell r="D151">
            <v>0.19607843137254899</v>
          </cell>
          <cell r="E151">
            <v>-9.6153846153846145E-2</v>
          </cell>
          <cell r="F151">
            <v>-0.30769230769230771</v>
          </cell>
        </row>
        <row r="152">
          <cell r="C152" t="str">
            <v>Nepal</v>
          </cell>
          <cell r="D152">
            <v>0.30086825217063051</v>
          </cell>
          <cell r="E152">
            <v>0.15822237592944832</v>
          </cell>
          <cell r="F152">
            <v>3.4090909090909172E-2</v>
          </cell>
        </row>
        <row r="153">
          <cell r="C153" t="str">
            <v>Netherlands</v>
          </cell>
          <cell r="D153">
            <v>1.1946133796698621E-2</v>
          </cell>
          <cell r="E153">
            <v>1.6516981521625951E-3</v>
          </cell>
          <cell r="F153">
            <v>-0.12241233102209803</v>
          </cell>
        </row>
        <row r="154">
          <cell r="C154" t="str">
            <v>New Caledonia</v>
          </cell>
          <cell r="D154">
            <v>7.4937552039966437E-3</v>
          </cell>
          <cell r="E154">
            <v>1.3617021276595809E-2</v>
          </cell>
          <cell r="F154">
            <v>8.5470085470085166E-3</v>
          </cell>
        </row>
        <row r="155">
          <cell r="C155" t="str">
            <v>New Zealand</v>
          </cell>
          <cell r="D155">
            <v>-7.489010690834097E-2</v>
          </cell>
          <cell r="E155">
            <v>-6.8837163134646828E-2</v>
          </cell>
          <cell r="F155">
            <v>-9.8954914929065496E-2</v>
          </cell>
        </row>
        <row r="156">
          <cell r="C156" t="str">
            <v>Nicaragua</v>
          </cell>
          <cell r="D156">
            <v>8.8291746641074864E-2</v>
          </cell>
          <cell r="E156">
            <v>5.9259259259259345E-2</v>
          </cell>
          <cell r="F156">
            <v>4.1977611940298587E-2</v>
          </cell>
        </row>
        <row r="157">
          <cell r="C157" t="str">
            <v>Niger</v>
          </cell>
          <cell r="D157">
            <v>8.0000000000000071E-2</v>
          </cell>
          <cell r="E157">
            <v>0.16772151898734178</v>
          </cell>
          <cell r="F157">
            <v>-5.9880239520958112E-2</v>
          </cell>
        </row>
        <row r="158">
          <cell r="C158" t="str">
            <v>Nigeria</v>
          </cell>
          <cell r="D158">
            <v>0.26352530541012209</v>
          </cell>
          <cell r="E158">
            <v>0.30533199195171035</v>
          </cell>
          <cell r="F158">
            <v>0.44222020018198371</v>
          </cell>
        </row>
        <row r="159">
          <cell r="C159" t="str">
            <v>Niue</v>
          </cell>
          <cell r="D159">
            <v>0</v>
          </cell>
          <cell r="E159">
            <v>-0.125</v>
          </cell>
          <cell r="F159">
            <v>-0.375</v>
          </cell>
        </row>
        <row r="160">
          <cell r="C160" t="str">
            <v>Norfolk Island</v>
          </cell>
          <cell r="D160">
            <v>0.19999999999999996</v>
          </cell>
          <cell r="E160">
            <v>0.19999999999999996</v>
          </cell>
          <cell r="F160">
            <v>0.19999999999999996</v>
          </cell>
        </row>
        <row r="161">
          <cell r="C161" t="str">
            <v>Northern Mariana Islands</v>
          </cell>
          <cell r="D161">
            <v>0.56000000000000005</v>
          </cell>
          <cell r="E161">
            <v>9.1666666666666563E-2</v>
          </cell>
          <cell r="F161">
            <v>-0.39823008849557517</v>
          </cell>
        </row>
        <row r="162">
          <cell r="C162" t="str">
            <v>Norway</v>
          </cell>
          <cell r="D162">
            <v>-4.1728970337656657E-3</v>
          </cell>
          <cell r="E162">
            <v>-9.096989966555169E-3</v>
          </cell>
          <cell r="F162">
            <v>-0.10085969180859689</v>
          </cell>
        </row>
        <row r="163">
          <cell r="C163" t="str">
            <v>Oman</v>
          </cell>
          <cell r="D163">
            <v>-1.0299446881556373E-2</v>
          </cell>
          <cell r="E163">
            <v>-2.2970903522204766E-3</v>
          </cell>
          <cell r="F163">
            <v>-9.6811594202898532E-2</v>
          </cell>
        </row>
        <row r="164">
          <cell r="C164" t="str">
            <v>Pakistan</v>
          </cell>
          <cell r="D164">
            <v>-2.3365332367324743E-2</v>
          </cell>
          <cell r="E164">
            <v>-5.0810810810810847E-2</v>
          </cell>
          <cell r="F164">
            <v>-0.12369049807020771</v>
          </cell>
        </row>
        <row r="165">
          <cell r="C165" t="str">
            <v>Palau</v>
          </cell>
          <cell r="D165">
            <v>0.16216216216216206</v>
          </cell>
          <cell r="E165">
            <v>-8.536585365853655E-2</v>
          </cell>
          <cell r="F165">
            <v>-0.12857142857142856</v>
          </cell>
        </row>
        <row r="166">
          <cell r="C166" t="str">
            <v>Panama</v>
          </cell>
          <cell r="D166">
            <v>-6.8639231000300338E-2</v>
          </cell>
          <cell r="E166">
            <v>-5.3396524486571839E-2</v>
          </cell>
          <cell r="F166">
            <v>-5.4380664652567967E-2</v>
          </cell>
        </row>
        <row r="167">
          <cell r="C167" t="str">
            <v>Papua New Guinea</v>
          </cell>
          <cell r="D167">
            <v>8.3588415352013223E-2</v>
          </cell>
          <cell r="E167">
            <v>6.6308662152696707E-2</v>
          </cell>
          <cell r="F167">
            <v>2.8083313831032131E-2</v>
          </cell>
        </row>
        <row r="168">
          <cell r="C168" t="str">
            <v>Paraguay</v>
          </cell>
          <cell r="D168">
            <v>-0.13184357541899439</v>
          </cell>
          <cell r="E168">
            <v>7.6045627376426506E-3</v>
          </cell>
          <cell r="F168">
            <v>-1.0309278350515427E-2</v>
          </cell>
        </row>
        <row r="169">
          <cell r="C169" t="str">
            <v>Peru</v>
          </cell>
          <cell r="D169">
            <v>-0.11803975117584586</v>
          </cell>
          <cell r="E169">
            <v>-0.13436270507015069</v>
          </cell>
          <cell r="F169">
            <v>-0.22299567930868935</v>
          </cell>
        </row>
        <row r="170">
          <cell r="C170" t="str">
            <v>Philippines</v>
          </cell>
          <cell r="D170">
            <v>0.11965503409546741</v>
          </cell>
          <cell r="E170">
            <v>2.8977453159733324E-2</v>
          </cell>
          <cell r="F170">
            <v>-0.13972383430058033</v>
          </cell>
        </row>
        <row r="171">
          <cell r="C171" t="str">
            <v>Poland</v>
          </cell>
          <cell r="D171">
            <v>6.953928263087672E-2</v>
          </cell>
          <cell r="E171">
            <v>6.4793311658151387E-2</v>
          </cell>
          <cell r="F171">
            <v>-0.16036575995082214</v>
          </cell>
        </row>
        <row r="172">
          <cell r="C172" t="str">
            <v>Portugal</v>
          </cell>
          <cell r="D172">
            <v>3.902798232695126E-3</v>
          </cell>
          <cell r="E172">
            <v>3.4688307957483566E-2</v>
          </cell>
          <cell r="F172">
            <v>-0.16592935889333615</v>
          </cell>
        </row>
        <row r="173">
          <cell r="C173" t="str">
            <v>Puerto Rico</v>
          </cell>
          <cell r="D173">
            <v>0.19017230376515637</v>
          </cell>
          <cell r="E173">
            <v>0.15686274509803932</v>
          </cell>
          <cell r="F173">
            <v>0.12897447380205995</v>
          </cell>
        </row>
        <row r="174">
          <cell r="C174" t="str">
            <v>Qatar</v>
          </cell>
          <cell r="D174">
            <v>4.8521697663328478E-2</v>
          </cell>
          <cell r="E174">
            <v>3.5274621212121104E-2</v>
          </cell>
          <cell r="F174">
            <v>-0.15035714285714286</v>
          </cell>
        </row>
        <row r="175">
          <cell r="C175" t="str">
            <v>Reunion</v>
          </cell>
          <cell r="D175">
            <v>-1.5847860538826808E-3</v>
          </cell>
          <cell r="E175">
            <v>-7.6045627376425395E-3</v>
          </cell>
          <cell r="F175">
            <v>-0.12255772646536411</v>
          </cell>
        </row>
        <row r="176">
          <cell r="C176" t="str">
            <v>Romania</v>
          </cell>
          <cell r="D176">
            <v>-4.8911328494792849E-3</v>
          </cell>
          <cell r="E176">
            <v>8.8509816543289599E-3</v>
          </cell>
          <cell r="F176">
            <v>-9.0112031173891882E-2</v>
          </cell>
        </row>
        <row r="177">
          <cell r="C177" t="str">
            <v>Russian Federation</v>
          </cell>
          <cell r="D177">
            <v>-3.921188943215359E-3</v>
          </cell>
          <cell r="E177">
            <v>3.5178236397748197E-3</v>
          </cell>
          <cell r="F177">
            <v>-4.7496306025283208E-2</v>
          </cell>
        </row>
        <row r="178">
          <cell r="C178" t="str">
            <v>Rwanda</v>
          </cell>
          <cell r="D178">
            <v>-2.8340080971659964E-2</v>
          </cell>
          <cell r="E178">
            <v>-3.5188216039279907E-2</v>
          </cell>
          <cell r="F178">
            <v>-0.26012965964343593</v>
          </cell>
        </row>
        <row r="179">
          <cell r="C179" t="str">
            <v>Saint Barthelemy</v>
          </cell>
          <cell r="D179">
            <v>7.2739187418086493E-2</v>
          </cell>
          <cell r="E179">
            <v>8.0994897959183687E-2</v>
          </cell>
          <cell r="F179">
            <v>-3.1625553447185317E-2</v>
          </cell>
        </row>
        <row r="180">
          <cell r="C180" t="str">
            <v>Saint Helena</v>
          </cell>
          <cell r="D180">
            <v>0</v>
          </cell>
          <cell r="E180">
            <v>0</v>
          </cell>
          <cell r="F180">
            <v>-0.53846153846153844</v>
          </cell>
        </row>
        <row r="181">
          <cell r="C181" t="str">
            <v>Saint Kitts and Nevis, Leeward Islands</v>
          </cell>
          <cell r="D181">
            <v>-0.19895287958115182</v>
          </cell>
          <cell r="E181">
            <v>-0.21089630931458703</v>
          </cell>
          <cell r="F181">
            <v>-0.25132743362831855</v>
          </cell>
        </row>
        <row r="182">
          <cell r="C182" t="str">
            <v>Saint Lucia</v>
          </cell>
          <cell r="D182">
            <v>-0.11929824561403513</v>
          </cell>
          <cell r="E182">
            <v>-6.643356643356646E-2</v>
          </cell>
          <cell r="F182">
            <v>-0.13240418118466901</v>
          </cell>
        </row>
        <row r="183">
          <cell r="C183" t="str">
            <v>Saint Martin</v>
          </cell>
          <cell r="D183">
            <v>9.7447795823665917E-2</v>
          </cell>
          <cell r="E183">
            <v>4.6666666666666634E-2</v>
          </cell>
          <cell r="F183">
            <v>-3.9823008849557473E-2</v>
          </cell>
        </row>
        <row r="184">
          <cell r="C184" t="str">
            <v>Saint Pierre and Miquelon</v>
          </cell>
          <cell r="D184">
            <v>0</v>
          </cell>
          <cell r="E184">
            <v>0</v>
          </cell>
          <cell r="F184">
            <v>0</v>
          </cell>
        </row>
        <row r="185">
          <cell r="C185" t="str">
            <v>Samoa</v>
          </cell>
          <cell r="D185">
            <v>-0.1095890410958904</v>
          </cell>
          <cell r="E185">
            <v>0</v>
          </cell>
          <cell r="F185">
            <v>-0.30476190476190479</v>
          </cell>
        </row>
        <row r="186">
          <cell r="C186" t="str">
            <v>Sao Tome and Principe</v>
          </cell>
          <cell r="D186">
            <v>0.80555555555555558</v>
          </cell>
          <cell r="E186">
            <v>-7.2463768115942351E-3</v>
          </cell>
          <cell r="F186">
            <v>-3.7593984962406068E-2</v>
          </cell>
        </row>
        <row r="187">
          <cell r="C187" t="str">
            <v>Saudi Arabia</v>
          </cell>
          <cell r="D187">
            <v>1.0580663927571621E-2</v>
          </cell>
          <cell r="E187">
            <v>8.7466784765279915E-3</v>
          </cell>
          <cell r="F187">
            <v>-0.12093842934243859</v>
          </cell>
        </row>
        <row r="188">
          <cell r="C188" t="str">
            <v>Senegal</v>
          </cell>
          <cell r="D188">
            <v>5.3516819571865382E-2</v>
          </cell>
          <cell r="E188">
            <v>5.35571542765787E-2</v>
          </cell>
          <cell r="F188">
            <v>-1.6447368421052655E-2</v>
          </cell>
        </row>
        <row r="189">
          <cell r="C189" t="str">
            <v>Serbia</v>
          </cell>
          <cell r="D189">
            <v>0.10046828437633026</v>
          </cell>
          <cell r="E189">
            <v>0.1081314878892734</v>
          </cell>
          <cell r="F189">
            <v>-0.15948827292110879</v>
          </cell>
        </row>
        <row r="190">
          <cell r="C190" t="str">
            <v>Seychelles</v>
          </cell>
          <cell r="D190">
            <v>0.26891891891891895</v>
          </cell>
          <cell r="E190">
            <v>0.16296296296296298</v>
          </cell>
          <cell r="F190">
            <v>-8.7531486146095738E-2</v>
          </cell>
        </row>
        <row r="191">
          <cell r="C191" t="str">
            <v>Sierra Leone</v>
          </cell>
          <cell r="D191">
            <v>-1.0101010101010055E-2</v>
          </cell>
          <cell r="E191">
            <v>7.9545454545454586E-2</v>
          </cell>
          <cell r="F191">
            <v>-0.13970588235294112</v>
          </cell>
        </row>
        <row r="192">
          <cell r="C192" t="str">
            <v>Singapore</v>
          </cell>
          <cell r="D192">
            <v>-7.0229202579330519E-4</v>
          </cell>
          <cell r="E192">
            <v>-0.16078184110970994</v>
          </cell>
          <cell r="F192">
            <v>-0.43065693430656937</v>
          </cell>
        </row>
        <row r="193">
          <cell r="C193" t="str">
            <v>Slovakia</v>
          </cell>
          <cell r="D193">
            <v>-9.6830985915492995E-2</v>
          </cell>
          <cell r="E193">
            <v>-5.9566787003610067E-2</v>
          </cell>
          <cell r="F193">
            <v>-0.27655677655677657</v>
          </cell>
        </row>
        <row r="194">
          <cell r="C194" t="str">
            <v>Slovenia</v>
          </cell>
          <cell r="D194">
            <v>-0.49338146811071004</v>
          </cell>
          <cell r="E194">
            <v>-0.44848484848484849</v>
          </cell>
          <cell r="F194">
            <v>-0.5854241338112306</v>
          </cell>
        </row>
        <row r="195">
          <cell r="C195" t="str">
            <v>Solomon Islands</v>
          </cell>
          <cell r="D195">
            <v>2.5385312783318126E-2</v>
          </cell>
          <cell r="E195">
            <v>5.4200542005420349E-3</v>
          </cell>
          <cell r="F195">
            <v>3.3364226135310426E-2</v>
          </cell>
        </row>
        <row r="196">
          <cell r="C196" t="str">
            <v>Somalia</v>
          </cell>
          <cell r="D196">
            <v>-0.32190760059612522</v>
          </cell>
          <cell r="E196">
            <v>-0.39652870493991987</v>
          </cell>
          <cell r="F196">
            <v>-0.45430463576158941</v>
          </cell>
        </row>
        <row r="197">
          <cell r="C197" t="str">
            <v>South Africa</v>
          </cell>
          <cell r="D197">
            <v>-7.5773112418371147E-2</v>
          </cell>
          <cell r="E197">
            <v>-9.7646682994356304E-2</v>
          </cell>
          <cell r="F197">
            <v>-0.19293117193728404</v>
          </cell>
        </row>
        <row r="198">
          <cell r="C198" t="str">
            <v>South Sudan</v>
          </cell>
          <cell r="D198">
            <v>0.15862068965517251</v>
          </cell>
          <cell r="E198">
            <v>0.15555555555555545</v>
          </cell>
          <cell r="F198">
            <v>7.3800738007379074E-3</v>
          </cell>
        </row>
        <row r="199">
          <cell r="C199" t="str">
            <v>Spain</v>
          </cell>
          <cell r="D199">
            <v>-3.7489116888881346E-2</v>
          </cell>
          <cell r="E199">
            <v>-1.8153027409112399E-2</v>
          </cell>
          <cell r="F199">
            <v>-0.23208695788960376</v>
          </cell>
        </row>
        <row r="200">
          <cell r="C200" t="str">
            <v>Sri Lanka</v>
          </cell>
          <cell r="D200">
            <v>-6.9304497419513389E-2</v>
          </cell>
          <cell r="E200">
            <v>-0.10316098995344281</v>
          </cell>
          <cell r="F200">
            <v>-0.23427866831072752</v>
          </cell>
        </row>
        <row r="201">
          <cell r="C201" t="str">
            <v>St Maarten (dutch Part)</v>
          </cell>
          <cell r="D201">
            <v>-3.7010159651669094E-2</v>
          </cell>
          <cell r="E201">
            <v>-5.0884157343919156E-2</v>
          </cell>
          <cell r="F201">
            <v>-0.17216382747372239</v>
          </cell>
        </row>
        <row r="202">
          <cell r="C202" t="str">
            <v>St Vincent and the Grenadines</v>
          </cell>
          <cell r="D202">
            <v>-1.1194029850746245E-2</v>
          </cell>
          <cell r="E202">
            <v>3.7453183520599342E-3</v>
          </cell>
          <cell r="F202">
            <v>-9.4339622641509413E-2</v>
          </cell>
        </row>
        <row r="203">
          <cell r="C203" t="str">
            <v>Sudan</v>
          </cell>
          <cell r="D203">
            <v>-0.19282814614343713</v>
          </cell>
          <cell r="E203">
            <v>-0.16596343178621664</v>
          </cell>
          <cell r="F203">
            <v>-0.16088328075709779</v>
          </cell>
        </row>
        <row r="204">
          <cell r="C204" t="str">
            <v>Suriname</v>
          </cell>
          <cell r="D204">
            <v>0.53125</v>
          </cell>
          <cell r="E204">
            <v>0.66976744186046511</v>
          </cell>
          <cell r="F204">
            <v>0.68995633187772931</v>
          </cell>
        </row>
        <row r="205">
          <cell r="C205" t="str">
            <v>Sweden</v>
          </cell>
          <cell r="D205">
            <v>-9.2158447857720316E-2</v>
          </cell>
          <cell r="E205">
            <v>-5.6140154483376281E-2</v>
          </cell>
          <cell r="F205">
            <v>-0.22706639923994509</v>
          </cell>
        </row>
        <row r="206">
          <cell r="C206" t="str">
            <v>Switzerland</v>
          </cell>
          <cell r="D206">
            <v>-5.6704469646430944E-2</v>
          </cell>
          <cell r="E206">
            <v>-5.5709023941068136E-2</v>
          </cell>
          <cell r="F206">
            <v>-0.27004577046957112</v>
          </cell>
        </row>
        <row r="207">
          <cell r="C207" t="str">
            <v>Syrian Arab Republic</v>
          </cell>
          <cell r="D207">
            <v>0.42196531791907521</v>
          </cell>
          <cell r="E207">
            <v>5.5813953488372148E-2</v>
          </cell>
          <cell r="F207">
            <v>-0.25896414342629481</v>
          </cell>
        </row>
        <row r="208">
          <cell r="C208" t="str">
            <v>Tajikistan</v>
          </cell>
          <cell r="D208">
            <v>1.5290519877675823E-2</v>
          </cell>
          <cell r="E208">
            <v>8.0952380952380887E-2</v>
          </cell>
          <cell r="F208">
            <v>-1.5748031496062964E-2</v>
          </cell>
        </row>
        <row r="209">
          <cell r="C209" t="str">
            <v>Tanzania United Republic of</v>
          </cell>
          <cell r="D209">
            <v>-0.16070532128514059</v>
          </cell>
          <cell r="E209">
            <v>-0.13445323223740113</v>
          </cell>
          <cell r="F209">
            <v>-8.5805084745762761E-2</v>
          </cell>
        </row>
        <row r="210">
          <cell r="C210" t="str">
            <v>Thailand</v>
          </cell>
          <cell r="D210">
            <v>-4.052643521670074E-2</v>
          </cell>
          <cell r="E210">
            <v>-0.12279546950541342</v>
          </cell>
          <cell r="F210">
            <v>-0.29071099576816062</v>
          </cell>
        </row>
        <row r="211">
          <cell r="C211" t="str">
            <v>Timor-leste</v>
          </cell>
          <cell r="D211">
            <v>7.0000000000000062E-2</v>
          </cell>
          <cell r="E211">
            <v>4.0000000000000036E-2</v>
          </cell>
          <cell r="F211">
            <v>0.15999999999999992</v>
          </cell>
        </row>
        <row r="212">
          <cell r="C212" t="str">
            <v>Togo</v>
          </cell>
          <cell r="D212">
            <v>-1.3368983957219305E-2</v>
          </cell>
          <cell r="E212">
            <v>6.1624649859943981E-2</v>
          </cell>
          <cell r="F212">
            <v>-9.0785907859078585E-2</v>
          </cell>
        </row>
        <row r="213">
          <cell r="C213" t="str">
            <v>Tonga</v>
          </cell>
          <cell r="D213">
            <v>-0.37984496124031009</v>
          </cell>
          <cell r="E213">
            <v>-0.10763888888888884</v>
          </cell>
          <cell r="F213">
            <v>-0.13197026022304836</v>
          </cell>
        </row>
        <row r="214">
          <cell r="C214" t="str">
            <v>Trinidad and Tobago</v>
          </cell>
          <cell r="D214">
            <v>-2.9175475687103547E-2</v>
          </cell>
          <cell r="E214">
            <v>1.5658061785865485E-2</v>
          </cell>
          <cell r="F214">
            <v>-5.2432885906040227E-2</v>
          </cell>
        </row>
        <row r="215">
          <cell r="C215" t="str">
            <v>Tunisia</v>
          </cell>
          <cell r="D215">
            <v>-3.4708831469340007E-3</v>
          </cell>
          <cell r="E215">
            <v>-1.4903129657227732E-3</v>
          </cell>
          <cell r="F215">
            <v>-0.24920466595970303</v>
          </cell>
        </row>
        <row r="216">
          <cell r="C216" t="str">
            <v>Turkey</v>
          </cell>
          <cell r="D216">
            <v>-3.9397963700752547E-2</v>
          </cell>
          <cell r="E216">
            <v>-4.4262411180094885E-2</v>
          </cell>
          <cell r="F216">
            <v>-0.22634772462077013</v>
          </cell>
        </row>
        <row r="217">
          <cell r="C217" t="str">
            <v>Turkmenistan</v>
          </cell>
          <cell r="D217">
            <v>-4.9019607843137081E-3</v>
          </cell>
          <cell r="E217">
            <v>1.2755102040816313E-2</v>
          </cell>
          <cell r="F217">
            <v>-0.1002548853016143</v>
          </cell>
        </row>
        <row r="218">
          <cell r="C218" t="str">
            <v>Turks and Caicos Islands</v>
          </cell>
          <cell r="D218">
            <v>-4.635761589403975E-2</v>
          </cell>
          <cell r="E218">
            <v>2.8530670470756636E-3</v>
          </cell>
          <cell r="F218">
            <v>1.889433170048993E-2</v>
          </cell>
        </row>
        <row r="219">
          <cell r="C219" t="str">
            <v>Tuvalu</v>
          </cell>
          <cell r="D219">
            <v>6.25E-2</v>
          </cell>
          <cell r="E219">
            <v>0</v>
          </cell>
          <cell r="F219">
            <v>-0.125</v>
          </cell>
        </row>
        <row r="220">
          <cell r="C220" t="str">
            <v>Uganda</v>
          </cell>
          <cell r="D220">
            <v>0.38739330269205507</v>
          </cell>
          <cell r="E220">
            <v>0.40601503759398505</v>
          </cell>
          <cell r="F220">
            <v>-6.3829787234042534E-2</v>
          </cell>
        </row>
        <row r="221">
          <cell r="C221" t="str">
            <v>Ukraine</v>
          </cell>
          <cell r="D221">
            <v>-8.7470071827613682E-2</v>
          </cell>
          <cell r="E221">
            <v>-6.2616033755274247E-2</v>
          </cell>
          <cell r="F221">
            <v>-0.26043737574552683</v>
          </cell>
        </row>
        <row r="222">
          <cell r="C222" t="str">
            <v>United Arab Emirates</v>
          </cell>
          <cell r="D222">
            <v>-1.9342604298356547E-2</v>
          </cell>
          <cell r="E222">
            <v>-3.033414623711117E-2</v>
          </cell>
          <cell r="F222">
            <v>-0.23116291071735762</v>
          </cell>
        </row>
        <row r="223">
          <cell r="C223" t="str">
            <v>United Kingdom</v>
          </cell>
          <cell r="D223">
            <v>-3.7875088933219891E-2</v>
          </cell>
          <cell r="E223">
            <v>-3.2799023173646469E-2</v>
          </cell>
          <cell r="F223">
            <v>-0.22814354409658277</v>
          </cell>
        </row>
        <row r="224">
          <cell r="C224" t="str">
            <v>Uruguay</v>
          </cell>
          <cell r="D224">
            <v>-0.10321969696969702</v>
          </cell>
          <cell r="E224">
            <v>-0.11857292759706195</v>
          </cell>
          <cell r="F224">
            <v>-8.4224598930481287E-2</v>
          </cell>
        </row>
        <row r="225">
          <cell r="C225" t="str">
            <v>USA</v>
          </cell>
          <cell r="D225">
            <v>1.662480134741795E-2</v>
          </cell>
          <cell r="E225">
            <v>1.2491449808261557E-2</v>
          </cell>
          <cell r="F225">
            <v>-2.1730168703564035E-2</v>
          </cell>
        </row>
        <row r="226">
          <cell r="C226" t="str">
            <v>Uzbekistan</v>
          </cell>
          <cell r="D226">
            <v>1.0029498525073732E-2</v>
          </cell>
          <cell r="E226">
            <v>1.7607771706132258E-2</v>
          </cell>
          <cell r="F226">
            <v>-0.18928363424577754</v>
          </cell>
        </row>
        <row r="227">
          <cell r="C227" t="str">
            <v>Vanuatu</v>
          </cell>
          <cell r="D227">
            <v>6.9153069153069069E-2</v>
          </cell>
          <cell r="E227">
            <v>8.6206896551724199E-2</v>
          </cell>
          <cell r="F227">
            <v>0.1174496644295302</v>
          </cell>
        </row>
        <row r="228">
          <cell r="C228" t="str">
            <v>Venezuela</v>
          </cell>
          <cell r="D228">
            <v>-0.20505200594353645</v>
          </cell>
          <cell r="E228">
            <v>-0.1324110671936759</v>
          </cell>
          <cell r="F228">
            <v>-0.14819182389937102</v>
          </cell>
        </row>
        <row r="229">
          <cell r="C229" t="str">
            <v>Viet Nam</v>
          </cell>
          <cell r="D229">
            <v>0.27491035094081151</v>
          </cell>
          <cell r="E229">
            <v>0.10807360120165233</v>
          </cell>
          <cell r="F229">
            <v>-0.15022590361445787</v>
          </cell>
        </row>
        <row r="230">
          <cell r="C230" t="str">
            <v>Virgin Islands, British</v>
          </cell>
          <cell r="D230">
            <v>2.8921023359288034E-2</v>
          </cell>
          <cell r="E230">
            <v>1.6519823788546217E-2</v>
          </cell>
          <cell r="F230">
            <v>-3.1096563011456579E-2</v>
          </cell>
        </row>
        <row r="231">
          <cell r="C231" t="str">
            <v>Virgin Islands, US</v>
          </cell>
          <cell r="D231">
            <v>-1.5129151291512932E-2</v>
          </cell>
          <cell r="E231">
            <v>2.7456647398844014E-2</v>
          </cell>
          <cell r="F231">
            <v>5.8665644171779219E-2</v>
          </cell>
        </row>
        <row r="232">
          <cell r="C232" t="str">
            <v>Wallis and Futuna Islands</v>
          </cell>
          <cell r="D232">
            <v>3.4482758620689724E-2</v>
          </cell>
          <cell r="E232">
            <v>1.538461538461533E-2</v>
          </cell>
          <cell r="F232">
            <v>-0.45185185185185184</v>
          </cell>
        </row>
        <row r="233">
          <cell r="C233" t="str">
            <v>Yemen</v>
          </cell>
          <cell r="D233">
            <v>-8.333333333333337E-2</v>
          </cell>
          <cell r="E233">
            <v>-0.14893617021276595</v>
          </cell>
          <cell r="F233">
            <v>-0.17948717948717952</v>
          </cell>
        </row>
        <row r="234">
          <cell r="C234" t="str">
            <v>Zambia</v>
          </cell>
          <cell r="D234">
            <v>-2.4908424908424931E-2</v>
          </cell>
          <cell r="E234">
            <v>-4.9539985845718282E-2</v>
          </cell>
          <cell r="F234">
            <v>-7.0916905444126099E-2</v>
          </cell>
        </row>
        <row r="235">
          <cell r="C235" t="str">
            <v>Zimbabwe</v>
          </cell>
          <cell r="D235">
            <v>4.6627810158201388E-2</v>
          </cell>
          <cell r="E235">
            <v>2.6495726495726402E-2</v>
          </cell>
          <cell r="F235">
            <v>-3.0482641828958545E-2</v>
          </cell>
        </row>
        <row r="236">
          <cell r="C236" t="str">
            <v>Grand Total</v>
          </cell>
          <cell r="D236">
            <v>8.4456683519127385E-3</v>
          </cell>
          <cell r="E236">
            <v>-8.6091378679128638E-2</v>
          </cell>
          <cell r="F236">
            <v>-0.14760534098473266</v>
          </cell>
        </row>
      </sheetData>
      <sheetData sheetId="10"/>
      <sheetData sheetId="11"/>
      <sheetData sheetId="12"/>
      <sheetData sheetId="13"/>
      <sheetData sheetId="14">
        <row r="8">
          <cell r="C8">
            <v>43836</v>
          </cell>
          <cell r="D8">
            <v>43843</v>
          </cell>
          <cell r="E8">
            <v>43850</v>
          </cell>
          <cell r="F8">
            <v>43857</v>
          </cell>
          <cell r="G8">
            <v>43864</v>
          </cell>
          <cell r="H8">
            <v>43871</v>
          </cell>
          <cell r="I8">
            <v>43878</v>
          </cell>
          <cell r="J8">
            <v>43885</v>
          </cell>
          <cell r="K8">
            <v>43892</v>
          </cell>
          <cell r="L8">
            <v>43899</v>
          </cell>
          <cell r="M8">
            <v>43906</v>
          </cell>
          <cell r="N8">
            <v>43913</v>
          </cell>
          <cell r="O8">
            <v>43920</v>
          </cell>
          <cell r="P8">
            <v>43927</v>
          </cell>
          <cell r="Q8">
            <v>43934</v>
          </cell>
          <cell r="R8">
            <v>43941</v>
          </cell>
          <cell r="S8">
            <v>43948</v>
          </cell>
          <cell r="T8">
            <v>43955</v>
          </cell>
        </row>
        <row r="9">
          <cell r="B9">
            <v>2019</v>
          </cell>
          <cell r="C9">
            <v>802822</v>
          </cell>
          <cell r="D9">
            <v>796800</v>
          </cell>
          <cell r="E9">
            <v>802615</v>
          </cell>
          <cell r="F9">
            <v>804614</v>
          </cell>
          <cell r="G9">
            <v>804014</v>
          </cell>
          <cell r="H9">
            <v>812924</v>
          </cell>
          <cell r="I9">
            <v>815986</v>
          </cell>
          <cell r="J9">
            <v>817506</v>
          </cell>
          <cell r="K9">
            <v>822043</v>
          </cell>
          <cell r="L9">
            <v>826516</v>
          </cell>
          <cell r="M9">
            <v>822084</v>
          </cell>
          <cell r="N9">
            <v>819387</v>
          </cell>
          <cell r="O9">
            <v>836372</v>
          </cell>
          <cell r="P9">
            <v>841411</v>
          </cell>
          <cell r="Q9">
            <v>834146</v>
          </cell>
          <cell r="R9">
            <v>843338</v>
          </cell>
          <cell r="S9">
            <v>843491</v>
          </cell>
          <cell r="T9">
            <v>843421</v>
          </cell>
        </row>
        <row r="10">
          <cell r="B10">
            <v>2020</v>
          </cell>
          <cell r="C10">
            <v>814625</v>
          </cell>
          <cell r="D10">
            <v>806924</v>
          </cell>
          <cell r="E10">
            <v>806505</v>
          </cell>
          <cell r="F10">
            <v>805881</v>
          </cell>
          <cell r="G10">
            <v>775141</v>
          </cell>
          <cell r="H10">
            <v>732120</v>
          </cell>
          <cell r="I10">
            <v>728408</v>
          </cell>
          <cell r="J10">
            <v>734927</v>
          </cell>
          <cell r="K10">
            <v>756880</v>
          </cell>
          <cell r="L10">
            <v>743169</v>
          </cell>
          <cell r="M10">
            <v>720239</v>
          </cell>
          <cell r="N10">
            <v>584116</v>
          </cell>
          <cell r="O10">
            <v>437769</v>
          </cell>
          <cell r="P10">
            <v>343431</v>
          </cell>
          <cell r="Q10">
            <v>292418</v>
          </cell>
          <cell r="R10">
            <v>276965</v>
          </cell>
          <cell r="S10">
            <v>279754</v>
          </cell>
          <cell r="T10">
            <v>253691</v>
          </cell>
        </row>
        <row r="13">
          <cell r="C13">
            <v>43836</v>
          </cell>
          <cell r="D13">
            <v>43843</v>
          </cell>
          <cell r="E13">
            <v>43850</v>
          </cell>
          <cell r="F13">
            <v>43857</v>
          </cell>
          <cell r="G13">
            <v>43864</v>
          </cell>
          <cell r="H13">
            <v>43871</v>
          </cell>
          <cell r="I13">
            <v>43878</v>
          </cell>
          <cell r="J13">
            <v>43885</v>
          </cell>
          <cell r="K13">
            <v>43892</v>
          </cell>
          <cell r="L13">
            <v>43899</v>
          </cell>
          <cell r="M13">
            <v>43906</v>
          </cell>
          <cell r="N13">
            <v>43913</v>
          </cell>
          <cell r="O13">
            <v>43920</v>
          </cell>
          <cell r="P13">
            <v>43927</v>
          </cell>
          <cell r="Q13">
            <v>43934</v>
          </cell>
          <cell r="R13">
            <v>43941</v>
          </cell>
          <cell r="S13">
            <v>43948</v>
          </cell>
          <cell r="T13">
            <v>43955</v>
          </cell>
        </row>
        <row r="14">
          <cell r="B14">
            <v>2019</v>
          </cell>
          <cell r="C14">
            <v>14934</v>
          </cell>
          <cell r="D14">
            <v>14513</v>
          </cell>
          <cell r="E14">
            <v>14525</v>
          </cell>
          <cell r="F14">
            <v>14605</v>
          </cell>
          <cell r="G14">
            <v>14823</v>
          </cell>
          <cell r="H14">
            <v>15179</v>
          </cell>
          <cell r="I14">
            <v>15394</v>
          </cell>
          <cell r="J14">
            <v>15861</v>
          </cell>
          <cell r="K14">
            <v>15903</v>
          </cell>
          <cell r="L14">
            <v>15842</v>
          </cell>
          <cell r="M14">
            <v>15818</v>
          </cell>
          <cell r="N14">
            <v>16008</v>
          </cell>
          <cell r="O14">
            <v>18445</v>
          </cell>
          <cell r="P14">
            <v>18981</v>
          </cell>
          <cell r="Q14">
            <v>19114</v>
          </cell>
          <cell r="R14">
            <v>19417</v>
          </cell>
          <cell r="S14">
            <v>19313</v>
          </cell>
          <cell r="T14">
            <v>19519</v>
          </cell>
        </row>
        <row r="15">
          <cell r="B15">
            <v>2020</v>
          </cell>
          <cell r="C15">
            <v>14763</v>
          </cell>
          <cell r="D15">
            <v>13842</v>
          </cell>
          <cell r="E15">
            <v>13830</v>
          </cell>
          <cell r="F15">
            <v>13946</v>
          </cell>
          <cell r="G15">
            <v>14260</v>
          </cell>
          <cell r="H15">
            <v>14795</v>
          </cell>
          <cell r="I15">
            <v>15486</v>
          </cell>
          <cell r="J15">
            <v>15604</v>
          </cell>
          <cell r="K15">
            <v>15673</v>
          </cell>
          <cell r="L15">
            <v>15386</v>
          </cell>
          <cell r="M15">
            <v>13647</v>
          </cell>
          <cell r="N15">
            <v>4111</v>
          </cell>
          <cell r="O15">
            <v>2124</v>
          </cell>
          <cell r="P15">
            <v>1408</v>
          </cell>
          <cell r="Q15">
            <v>1100</v>
          </cell>
          <cell r="R15">
            <v>959</v>
          </cell>
          <cell r="S15">
            <v>1132</v>
          </cell>
          <cell r="T15">
            <v>1506</v>
          </cell>
        </row>
        <row r="16">
          <cell r="C16">
            <v>-1.1450381679389277E-2</v>
          </cell>
          <cell r="D16">
            <v>-4.6234410528491643E-2</v>
          </cell>
          <cell r="E16">
            <v>-4.7848537005163561E-2</v>
          </cell>
          <cell r="F16">
            <v>-4.5121533721328322E-2</v>
          </cell>
          <cell r="G16">
            <v>-3.7981515212844874E-2</v>
          </cell>
          <cell r="H16">
            <v>-2.5298109229857091E-2</v>
          </cell>
          <cell r="I16">
            <v>5.9763544238013999E-3</v>
          </cell>
          <cell r="J16">
            <v>-1.6203265872265282E-2</v>
          </cell>
          <cell r="K16">
            <v>-1.446267999748474E-2</v>
          </cell>
          <cell r="L16">
            <v>-2.8784244413584181E-2</v>
          </cell>
          <cell r="M16">
            <v>-0.13724870400809208</v>
          </cell>
          <cell r="N16">
            <v>-0.74319090454772607</v>
          </cell>
          <cell r="O16">
            <v>-0.88484684196259145</v>
          </cell>
          <cell r="P16">
            <v>-0.92582055739950475</v>
          </cell>
          <cell r="Q16">
            <v>-0.94245055979910008</v>
          </cell>
          <cell r="R16">
            <v>-0.95061028995210384</v>
          </cell>
          <cell r="S16">
            <v>-0.94138663076684104</v>
          </cell>
          <cell r="T16">
            <v>-0.92284440801270562</v>
          </cell>
        </row>
        <row r="18">
          <cell r="C18">
            <v>43836</v>
          </cell>
          <cell r="D18">
            <v>43843</v>
          </cell>
          <cell r="E18">
            <v>43850</v>
          </cell>
          <cell r="F18">
            <v>43857</v>
          </cell>
          <cell r="G18">
            <v>43864</v>
          </cell>
          <cell r="H18">
            <v>43871</v>
          </cell>
          <cell r="I18">
            <v>43878</v>
          </cell>
          <cell r="J18">
            <v>43885</v>
          </cell>
          <cell r="K18">
            <v>43892</v>
          </cell>
          <cell r="L18">
            <v>43899</v>
          </cell>
          <cell r="M18">
            <v>43906</v>
          </cell>
          <cell r="N18">
            <v>43913</v>
          </cell>
          <cell r="O18">
            <v>43920</v>
          </cell>
          <cell r="P18">
            <v>43927</v>
          </cell>
          <cell r="Q18">
            <v>43934</v>
          </cell>
          <cell r="R18">
            <v>43941</v>
          </cell>
          <cell r="S18">
            <v>43948</v>
          </cell>
          <cell r="T18">
            <v>43955</v>
          </cell>
        </row>
        <row r="19">
          <cell r="B19">
            <v>2019</v>
          </cell>
          <cell r="C19">
            <v>3726</v>
          </cell>
          <cell r="D19">
            <v>3733</v>
          </cell>
          <cell r="E19">
            <v>3768</v>
          </cell>
          <cell r="F19">
            <v>3813</v>
          </cell>
          <cell r="G19">
            <v>3810</v>
          </cell>
          <cell r="H19">
            <v>3818</v>
          </cell>
          <cell r="I19">
            <v>3763</v>
          </cell>
          <cell r="J19">
            <v>3752</v>
          </cell>
          <cell r="K19">
            <v>3701</v>
          </cell>
          <cell r="L19">
            <v>3723</v>
          </cell>
          <cell r="M19">
            <v>3737</v>
          </cell>
          <cell r="N19">
            <v>3744</v>
          </cell>
          <cell r="O19">
            <v>3748</v>
          </cell>
          <cell r="P19">
            <v>3740</v>
          </cell>
          <cell r="Q19">
            <v>3775</v>
          </cell>
          <cell r="R19">
            <v>3793</v>
          </cell>
          <cell r="S19">
            <v>3786</v>
          </cell>
          <cell r="T19">
            <v>3725</v>
          </cell>
        </row>
        <row r="20">
          <cell r="B20">
            <v>2020</v>
          </cell>
          <cell r="C20">
            <v>3306</v>
          </cell>
          <cell r="D20">
            <v>3331</v>
          </cell>
          <cell r="E20">
            <v>3467</v>
          </cell>
          <cell r="F20">
            <v>3480</v>
          </cell>
          <cell r="G20">
            <v>3025</v>
          </cell>
          <cell r="H20">
            <v>2113</v>
          </cell>
          <cell r="I20">
            <v>1590</v>
          </cell>
          <cell r="J20">
            <v>1376</v>
          </cell>
          <cell r="K20">
            <v>1096</v>
          </cell>
          <cell r="L20">
            <v>836</v>
          </cell>
          <cell r="M20">
            <v>719</v>
          </cell>
          <cell r="N20">
            <v>687</v>
          </cell>
          <cell r="O20">
            <v>440</v>
          </cell>
          <cell r="P20">
            <v>289</v>
          </cell>
          <cell r="Q20">
            <v>220</v>
          </cell>
          <cell r="R20">
            <v>209</v>
          </cell>
          <cell r="S20">
            <v>259</v>
          </cell>
          <cell r="T20">
            <v>240</v>
          </cell>
        </row>
        <row r="21">
          <cell r="C21">
            <v>-0.1127214170692431</v>
          </cell>
          <cell r="D21">
            <v>-0.10768818644521827</v>
          </cell>
          <cell r="E21">
            <v>-7.9883227176220761E-2</v>
          </cell>
          <cell r="F21">
            <v>-8.733280881195904E-2</v>
          </cell>
          <cell r="G21">
            <v>-0.20603674540682415</v>
          </cell>
          <cell r="H21">
            <v>-0.44656888423258245</v>
          </cell>
          <cell r="I21">
            <v>-0.57746478873239437</v>
          </cell>
          <cell r="J21">
            <v>-0.63326226012793174</v>
          </cell>
          <cell r="K21">
            <v>-0.70386382058902996</v>
          </cell>
          <cell r="L21">
            <v>-0.77544990598979324</v>
          </cell>
          <cell r="M21">
            <v>-0.80759967888680761</v>
          </cell>
          <cell r="N21">
            <v>-0.81650641025641024</v>
          </cell>
          <cell r="O21">
            <v>-0.88260405549626464</v>
          </cell>
          <cell r="P21">
            <v>-0.92272727272727273</v>
          </cell>
          <cell r="Q21">
            <v>-0.94172185430463573</v>
          </cell>
          <cell r="R21">
            <v>-0.94489849723174268</v>
          </cell>
          <cell r="S21">
            <v>-0.93159006867406235</v>
          </cell>
          <cell r="T21">
            <v>-0.93557046979865777</v>
          </cell>
        </row>
        <row r="23">
          <cell r="C23">
            <v>43836</v>
          </cell>
          <cell r="D23">
            <v>43843</v>
          </cell>
          <cell r="E23">
            <v>43850</v>
          </cell>
          <cell r="F23">
            <v>43857</v>
          </cell>
          <cell r="G23">
            <v>43864</v>
          </cell>
          <cell r="H23">
            <v>43871</v>
          </cell>
          <cell r="I23">
            <v>43878</v>
          </cell>
          <cell r="J23">
            <v>43885</v>
          </cell>
          <cell r="K23">
            <v>43892</v>
          </cell>
          <cell r="L23">
            <v>43899</v>
          </cell>
          <cell r="M23">
            <v>43906</v>
          </cell>
          <cell r="N23">
            <v>43913</v>
          </cell>
          <cell r="O23">
            <v>43920</v>
          </cell>
          <cell r="P23">
            <v>43927</v>
          </cell>
          <cell r="Q23">
            <v>43934</v>
          </cell>
          <cell r="R23">
            <v>43941</v>
          </cell>
          <cell r="S23">
            <v>43948</v>
          </cell>
          <cell r="T23">
            <v>43955</v>
          </cell>
        </row>
        <row r="24">
          <cell r="B24">
            <v>2019</v>
          </cell>
          <cell r="C24">
            <v>16738</v>
          </cell>
          <cell r="D24">
            <v>16713</v>
          </cell>
          <cell r="E24">
            <v>16766</v>
          </cell>
          <cell r="F24">
            <v>16962</v>
          </cell>
          <cell r="G24">
            <v>17160</v>
          </cell>
          <cell r="H24">
            <v>17576</v>
          </cell>
          <cell r="I24">
            <v>17565</v>
          </cell>
          <cell r="J24">
            <v>17558</v>
          </cell>
          <cell r="K24">
            <v>17622</v>
          </cell>
          <cell r="L24">
            <v>17616</v>
          </cell>
          <cell r="M24">
            <v>17587</v>
          </cell>
          <cell r="N24">
            <v>17793</v>
          </cell>
          <cell r="O24">
            <v>18980</v>
          </cell>
          <cell r="P24">
            <v>19249</v>
          </cell>
          <cell r="Q24">
            <v>18340</v>
          </cell>
          <cell r="R24">
            <v>18834</v>
          </cell>
          <cell r="S24">
            <v>19349</v>
          </cell>
          <cell r="T24">
            <v>19804</v>
          </cell>
        </row>
        <row r="25">
          <cell r="B25">
            <v>2020</v>
          </cell>
          <cell r="C25">
            <v>15303</v>
          </cell>
          <cell r="D25">
            <v>15249</v>
          </cell>
          <cell r="E25">
            <v>15357</v>
          </cell>
          <cell r="F25">
            <v>15528</v>
          </cell>
          <cell r="G25">
            <v>15811</v>
          </cell>
          <cell r="H25">
            <v>16178</v>
          </cell>
          <cell r="I25">
            <v>16411</v>
          </cell>
          <cell r="J25">
            <v>16657</v>
          </cell>
          <cell r="K25">
            <v>16741</v>
          </cell>
          <cell r="L25">
            <v>14907</v>
          </cell>
          <cell r="M25">
            <v>12270</v>
          </cell>
          <cell r="N25">
            <v>5004</v>
          </cell>
          <cell r="O25">
            <v>2171</v>
          </cell>
          <cell r="P25">
            <v>1424</v>
          </cell>
          <cell r="Q25">
            <v>1384</v>
          </cell>
          <cell r="R25">
            <v>1187</v>
          </cell>
          <cell r="S25">
            <v>1381</v>
          </cell>
          <cell r="T25">
            <v>1886</v>
          </cell>
        </row>
        <row r="28">
          <cell r="C28">
            <v>43836</v>
          </cell>
          <cell r="D28">
            <v>43843</v>
          </cell>
          <cell r="E28">
            <v>43850</v>
          </cell>
          <cell r="F28">
            <v>43857</v>
          </cell>
          <cell r="G28">
            <v>43864</v>
          </cell>
          <cell r="H28">
            <v>43871</v>
          </cell>
          <cell r="I28">
            <v>43878</v>
          </cell>
          <cell r="J28">
            <v>43885</v>
          </cell>
          <cell r="K28">
            <v>43892</v>
          </cell>
          <cell r="L28">
            <v>43899</v>
          </cell>
          <cell r="M28">
            <v>43906</v>
          </cell>
          <cell r="N28">
            <v>43913</v>
          </cell>
          <cell r="O28">
            <v>43920</v>
          </cell>
          <cell r="P28">
            <v>43927</v>
          </cell>
          <cell r="Q28">
            <v>43934</v>
          </cell>
          <cell r="R28">
            <v>43941</v>
          </cell>
          <cell r="S28">
            <v>43948</v>
          </cell>
          <cell r="T28">
            <v>43955</v>
          </cell>
        </row>
        <row r="29">
          <cell r="B29">
            <v>2019</v>
          </cell>
          <cell r="C29">
            <v>3903</v>
          </cell>
          <cell r="D29">
            <v>3876</v>
          </cell>
          <cell r="E29">
            <v>3906</v>
          </cell>
          <cell r="F29">
            <v>3978</v>
          </cell>
          <cell r="G29">
            <v>4034</v>
          </cell>
          <cell r="H29">
            <v>3973</v>
          </cell>
          <cell r="I29">
            <v>3941</v>
          </cell>
          <cell r="J29">
            <v>3912</v>
          </cell>
          <cell r="K29">
            <v>3880</v>
          </cell>
          <cell r="L29">
            <v>3901</v>
          </cell>
          <cell r="M29">
            <v>3719</v>
          </cell>
          <cell r="N29">
            <v>3707</v>
          </cell>
          <cell r="O29">
            <v>3727</v>
          </cell>
          <cell r="P29">
            <v>3728</v>
          </cell>
          <cell r="Q29">
            <v>3734</v>
          </cell>
          <cell r="R29">
            <v>3762</v>
          </cell>
          <cell r="S29">
            <v>3767</v>
          </cell>
          <cell r="T29">
            <v>3674</v>
          </cell>
        </row>
        <row r="30">
          <cell r="B30">
            <v>2020</v>
          </cell>
          <cell r="C30">
            <v>3862</v>
          </cell>
          <cell r="D30">
            <v>3871</v>
          </cell>
          <cell r="E30">
            <v>3952</v>
          </cell>
          <cell r="F30">
            <v>3967</v>
          </cell>
          <cell r="G30">
            <v>3704</v>
          </cell>
          <cell r="H30">
            <v>3360</v>
          </cell>
          <cell r="I30">
            <v>3211</v>
          </cell>
          <cell r="J30">
            <v>3035</v>
          </cell>
          <cell r="K30">
            <v>2894</v>
          </cell>
          <cell r="L30">
            <v>2510</v>
          </cell>
          <cell r="M30">
            <v>2399</v>
          </cell>
          <cell r="N30">
            <v>855</v>
          </cell>
          <cell r="O30">
            <v>343</v>
          </cell>
          <cell r="P30">
            <v>377</v>
          </cell>
          <cell r="Q30">
            <v>281</v>
          </cell>
          <cell r="R30">
            <v>109</v>
          </cell>
          <cell r="S30">
            <v>156</v>
          </cell>
          <cell r="T30">
            <v>110</v>
          </cell>
        </row>
        <row r="31">
          <cell r="C31">
            <v>-1.0504739943633101E-2</v>
          </cell>
          <cell r="D31">
            <v>-1.2899896800825372E-3</v>
          </cell>
          <cell r="E31">
            <v>1.177675371223752E-2</v>
          </cell>
          <cell r="F31">
            <v>-2.7652086475615789E-3</v>
          </cell>
          <cell r="G31">
            <v>-8.1804660386712968E-2</v>
          </cell>
          <cell r="H31">
            <v>-0.15429146740498367</v>
          </cell>
          <cell r="I31">
            <v>-0.18523217457498098</v>
          </cell>
          <cell r="J31">
            <v>-0.22418200408997957</v>
          </cell>
          <cell r="K31">
            <v>-0.25412371134020617</v>
          </cell>
          <cell r="L31">
            <v>-0.35657523711868755</v>
          </cell>
          <cell r="M31">
            <v>-0.35493412207582686</v>
          </cell>
          <cell r="N31">
            <v>-0.76935527380631241</v>
          </cell>
          <cell r="O31">
            <v>-0.90796887577139795</v>
          </cell>
          <cell r="P31">
            <v>-0.89887339055793991</v>
          </cell>
          <cell r="Q31">
            <v>-0.92474558114622385</v>
          </cell>
          <cell r="R31">
            <v>-0.97102604997341835</v>
          </cell>
          <cell r="S31">
            <v>-0.95858773559861954</v>
          </cell>
          <cell r="T31">
            <v>-0.97005988023952094</v>
          </cell>
        </row>
        <row r="33">
          <cell r="C33">
            <v>43836</v>
          </cell>
          <cell r="D33">
            <v>43843</v>
          </cell>
          <cell r="E33">
            <v>43850</v>
          </cell>
          <cell r="F33">
            <v>43857</v>
          </cell>
          <cell r="G33">
            <v>43864</v>
          </cell>
          <cell r="H33">
            <v>43871</v>
          </cell>
          <cell r="I33">
            <v>43878</v>
          </cell>
          <cell r="J33">
            <v>43885</v>
          </cell>
          <cell r="K33">
            <v>43892</v>
          </cell>
          <cell r="L33">
            <v>43899</v>
          </cell>
          <cell r="M33">
            <v>43906</v>
          </cell>
          <cell r="N33">
            <v>43913</v>
          </cell>
          <cell r="O33">
            <v>43920</v>
          </cell>
          <cell r="P33">
            <v>43927</v>
          </cell>
          <cell r="Q33">
            <v>43934</v>
          </cell>
          <cell r="R33">
            <v>43941</v>
          </cell>
          <cell r="S33">
            <v>43948</v>
          </cell>
          <cell r="T33">
            <v>43955</v>
          </cell>
        </row>
        <row r="34">
          <cell r="B34">
            <v>2019</v>
          </cell>
          <cell r="C34">
            <v>11331</v>
          </cell>
          <cell r="D34">
            <v>11053</v>
          </cell>
          <cell r="E34">
            <v>11012</v>
          </cell>
          <cell r="F34">
            <v>11087</v>
          </cell>
          <cell r="G34">
            <v>11223</v>
          </cell>
          <cell r="H34">
            <v>11474</v>
          </cell>
          <cell r="I34">
            <v>11636</v>
          </cell>
          <cell r="J34">
            <v>11590</v>
          </cell>
          <cell r="K34">
            <v>11568</v>
          </cell>
          <cell r="L34">
            <v>11568</v>
          </cell>
          <cell r="M34">
            <v>11547</v>
          </cell>
          <cell r="N34">
            <v>11520</v>
          </cell>
          <cell r="O34">
            <v>13521</v>
          </cell>
          <cell r="P34">
            <v>13685</v>
          </cell>
          <cell r="Q34">
            <v>13912</v>
          </cell>
          <cell r="R34">
            <v>13959</v>
          </cell>
          <cell r="S34">
            <v>14033</v>
          </cell>
          <cell r="T34">
            <v>14205</v>
          </cell>
        </row>
        <row r="35">
          <cell r="B35">
            <v>2020</v>
          </cell>
          <cell r="C35">
            <v>11421</v>
          </cell>
          <cell r="D35">
            <v>10505</v>
          </cell>
          <cell r="E35">
            <v>10551</v>
          </cell>
          <cell r="F35">
            <v>10551</v>
          </cell>
          <cell r="G35">
            <v>10744</v>
          </cell>
          <cell r="H35">
            <v>11071</v>
          </cell>
          <cell r="I35">
            <v>11307</v>
          </cell>
          <cell r="J35">
            <v>10872</v>
          </cell>
          <cell r="K35">
            <v>10549</v>
          </cell>
          <cell r="L35">
            <v>9067</v>
          </cell>
          <cell r="M35">
            <v>3013</v>
          </cell>
          <cell r="N35">
            <v>1382</v>
          </cell>
          <cell r="O35">
            <v>1459</v>
          </cell>
          <cell r="P35">
            <v>1510</v>
          </cell>
          <cell r="Q35">
            <v>1079</v>
          </cell>
          <cell r="R35">
            <v>2618</v>
          </cell>
          <cell r="S35">
            <v>2783</v>
          </cell>
          <cell r="T35">
            <v>3112</v>
          </cell>
        </row>
        <row r="38">
          <cell r="C38">
            <v>43836</v>
          </cell>
          <cell r="D38">
            <v>43843</v>
          </cell>
          <cell r="E38">
            <v>43850</v>
          </cell>
          <cell r="F38">
            <v>43857</v>
          </cell>
          <cell r="G38">
            <v>43864</v>
          </cell>
          <cell r="H38">
            <v>43871</v>
          </cell>
          <cell r="I38">
            <v>43878</v>
          </cell>
          <cell r="J38">
            <v>43885</v>
          </cell>
          <cell r="K38">
            <v>43892</v>
          </cell>
          <cell r="L38">
            <v>43899</v>
          </cell>
          <cell r="M38">
            <v>43906</v>
          </cell>
          <cell r="N38">
            <v>43913</v>
          </cell>
          <cell r="O38">
            <v>43920</v>
          </cell>
          <cell r="P38">
            <v>43927</v>
          </cell>
          <cell r="Q38">
            <v>43934</v>
          </cell>
          <cell r="R38">
            <v>43941</v>
          </cell>
          <cell r="S38">
            <v>43948</v>
          </cell>
          <cell r="T38">
            <v>43955</v>
          </cell>
        </row>
        <row r="39">
          <cell r="B39">
            <v>2019</v>
          </cell>
          <cell r="C39">
            <v>12132</v>
          </cell>
          <cell r="D39">
            <v>12036</v>
          </cell>
          <cell r="E39">
            <v>12087</v>
          </cell>
          <cell r="F39">
            <v>12183</v>
          </cell>
          <cell r="G39">
            <v>12297</v>
          </cell>
          <cell r="H39">
            <v>12545</v>
          </cell>
          <cell r="I39">
            <v>12502</v>
          </cell>
          <cell r="J39">
            <v>12539</v>
          </cell>
          <cell r="K39">
            <v>12813</v>
          </cell>
          <cell r="L39">
            <v>13078</v>
          </cell>
          <cell r="M39">
            <v>12872</v>
          </cell>
          <cell r="N39">
            <v>13111</v>
          </cell>
          <cell r="O39">
            <v>14779</v>
          </cell>
          <cell r="P39">
            <v>15130</v>
          </cell>
          <cell r="Q39">
            <v>15194</v>
          </cell>
          <cell r="R39">
            <v>15257</v>
          </cell>
          <cell r="S39">
            <v>15124</v>
          </cell>
          <cell r="T39">
            <v>14876</v>
          </cell>
        </row>
        <row r="40">
          <cell r="B40">
            <v>2020</v>
          </cell>
          <cell r="C40">
            <v>12298</v>
          </cell>
          <cell r="D40">
            <v>11861</v>
          </cell>
          <cell r="E40">
            <v>11858</v>
          </cell>
          <cell r="F40">
            <v>12029</v>
          </cell>
          <cell r="G40">
            <v>12260</v>
          </cell>
          <cell r="H40">
            <v>12623</v>
          </cell>
          <cell r="I40">
            <v>12709</v>
          </cell>
          <cell r="J40">
            <v>12481</v>
          </cell>
          <cell r="K40">
            <v>12555</v>
          </cell>
          <cell r="L40">
            <v>12577</v>
          </cell>
          <cell r="M40">
            <v>11113</v>
          </cell>
          <cell r="N40">
            <v>7700</v>
          </cell>
          <cell r="O40">
            <v>2747</v>
          </cell>
          <cell r="P40">
            <v>1971</v>
          </cell>
          <cell r="Q40">
            <v>1206</v>
          </cell>
          <cell r="R40">
            <v>1266</v>
          </cell>
          <cell r="S40">
            <v>1245</v>
          </cell>
          <cell r="T40">
            <v>1204</v>
          </cell>
        </row>
        <row r="43">
          <cell r="C43">
            <v>43836</v>
          </cell>
          <cell r="D43">
            <v>43843</v>
          </cell>
          <cell r="E43">
            <v>43850</v>
          </cell>
          <cell r="F43">
            <v>43857</v>
          </cell>
          <cell r="G43">
            <v>43864</v>
          </cell>
          <cell r="H43">
            <v>43871</v>
          </cell>
          <cell r="I43">
            <v>43878</v>
          </cell>
          <cell r="J43">
            <v>43885</v>
          </cell>
          <cell r="K43">
            <v>43892</v>
          </cell>
          <cell r="L43">
            <v>43899</v>
          </cell>
          <cell r="M43">
            <v>43906</v>
          </cell>
          <cell r="N43">
            <v>43913</v>
          </cell>
          <cell r="O43">
            <v>43920</v>
          </cell>
          <cell r="P43">
            <v>43927</v>
          </cell>
          <cell r="Q43">
            <v>43934</v>
          </cell>
          <cell r="R43">
            <v>43941</v>
          </cell>
          <cell r="S43">
            <v>43948</v>
          </cell>
          <cell r="T43">
            <v>43955</v>
          </cell>
        </row>
        <row r="44">
          <cell r="B44">
            <v>2019</v>
          </cell>
          <cell r="C44">
            <v>17933</v>
          </cell>
          <cell r="D44">
            <v>17711</v>
          </cell>
          <cell r="E44">
            <v>17836</v>
          </cell>
          <cell r="F44">
            <v>18203</v>
          </cell>
          <cell r="G44">
            <v>18698</v>
          </cell>
          <cell r="H44">
            <v>19333</v>
          </cell>
          <cell r="I44">
            <v>19581</v>
          </cell>
          <cell r="J44">
            <v>19372</v>
          </cell>
          <cell r="K44">
            <v>19520</v>
          </cell>
          <cell r="L44">
            <v>19600</v>
          </cell>
          <cell r="M44">
            <v>19443</v>
          </cell>
          <cell r="N44">
            <v>19629</v>
          </cell>
          <cell r="O44">
            <v>21568</v>
          </cell>
          <cell r="P44">
            <v>21872</v>
          </cell>
          <cell r="Q44">
            <v>21604</v>
          </cell>
          <cell r="R44">
            <v>21636</v>
          </cell>
          <cell r="S44">
            <v>22479</v>
          </cell>
          <cell r="T44">
            <v>22661</v>
          </cell>
        </row>
        <row r="45">
          <cell r="B45">
            <v>2020</v>
          </cell>
          <cell r="C45">
            <v>17617</v>
          </cell>
          <cell r="D45">
            <v>16980</v>
          </cell>
          <cell r="E45">
            <v>17089</v>
          </cell>
          <cell r="F45">
            <v>17282</v>
          </cell>
          <cell r="G45">
            <v>17891</v>
          </cell>
          <cell r="H45">
            <v>18568</v>
          </cell>
          <cell r="I45">
            <v>18987</v>
          </cell>
          <cell r="J45">
            <v>19013</v>
          </cell>
          <cell r="K45">
            <v>18988</v>
          </cell>
          <cell r="L45">
            <v>16561</v>
          </cell>
          <cell r="M45">
            <v>15681</v>
          </cell>
          <cell r="N45">
            <v>9123</v>
          </cell>
          <cell r="O45">
            <v>5258</v>
          </cell>
          <cell r="P45">
            <v>2040</v>
          </cell>
          <cell r="Q45">
            <v>1738</v>
          </cell>
          <cell r="R45">
            <v>1463</v>
          </cell>
          <cell r="S45">
            <v>1464</v>
          </cell>
          <cell r="T45">
            <v>1700</v>
          </cell>
        </row>
        <row r="48">
          <cell r="C48">
            <v>43836</v>
          </cell>
          <cell r="D48">
            <v>43843</v>
          </cell>
          <cell r="E48">
            <v>43850</v>
          </cell>
          <cell r="F48">
            <v>43857</v>
          </cell>
          <cell r="G48">
            <v>43864</v>
          </cell>
          <cell r="H48">
            <v>43871</v>
          </cell>
          <cell r="I48">
            <v>43878</v>
          </cell>
          <cell r="J48">
            <v>43885</v>
          </cell>
          <cell r="K48">
            <v>43892</v>
          </cell>
          <cell r="L48">
            <v>43899</v>
          </cell>
          <cell r="M48">
            <v>43906</v>
          </cell>
          <cell r="N48">
            <v>43913</v>
          </cell>
          <cell r="O48">
            <v>43920</v>
          </cell>
          <cell r="P48">
            <v>43927</v>
          </cell>
          <cell r="Q48">
            <v>43934</v>
          </cell>
          <cell r="R48">
            <v>43941</v>
          </cell>
          <cell r="S48">
            <v>43948</v>
          </cell>
          <cell r="T48">
            <v>43955</v>
          </cell>
        </row>
        <row r="49">
          <cell r="B49">
            <v>2019</v>
          </cell>
          <cell r="C49">
            <v>14388</v>
          </cell>
          <cell r="D49">
            <v>14607</v>
          </cell>
          <cell r="E49">
            <v>14570</v>
          </cell>
          <cell r="F49">
            <v>14780</v>
          </cell>
          <cell r="G49">
            <v>14946</v>
          </cell>
          <cell r="H49">
            <v>14999</v>
          </cell>
          <cell r="I49">
            <v>15011</v>
          </cell>
          <cell r="J49">
            <v>15084</v>
          </cell>
          <cell r="K49">
            <v>14937</v>
          </cell>
          <cell r="L49">
            <v>15061</v>
          </cell>
          <cell r="M49">
            <v>15040</v>
          </cell>
          <cell r="N49">
            <v>14748</v>
          </cell>
          <cell r="O49">
            <v>15101</v>
          </cell>
          <cell r="P49">
            <v>15535</v>
          </cell>
          <cell r="Q49">
            <v>14761</v>
          </cell>
          <cell r="R49">
            <v>14204</v>
          </cell>
          <cell r="S49">
            <v>15110</v>
          </cell>
          <cell r="T49">
            <v>14881</v>
          </cell>
        </row>
        <row r="50">
          <cell r="B50">
            <v>2020</v>
          </cell>
          <cell r="C50">
            <v>13903</v>
          </cell>
          <cell r="D50">
            <v>14116</v>
          </cell>
          <cell r="E50">
            <v>14104</v>
          </cell>
          <cell r="F50">
            <v>14209</v>
          </cell>
          <cell r="G50">
            <v>14407</v>
          </cell>
          <cell r="H50">
            <v>14252</v>
          </cell>
          <cell r="I50">
            <v>14763</v>
          </cell>
          <cell r="J50">
            <v>14713</v>
          </cell>
          <cell r="K50">
            <v>14678</v>
          </cell>
          <cell r="L50">
            <v>14710</v>
          </cell>
          <cell r="M50">
            <v>14607</v>
          </cell>
          <cell r="N50">
            <v>12401</v>
          </cell>
          <cell r="O50">
            <v>5567</v>
          </cell>
          <cell r="P50">
            <v>3409</v>
          </cell>
          <cell r="Q50">
            <v>2268</v>
          </cell>
          <cell r="R50">
            <v>2314</v>
          </cell>
          <cell r="S50">
            <v>2364</v>
          </cell>
          <cell r="T50">
            <v>2529</v>
          </cell>
        </row>
        <row r="53">
          <cell r="C53">
            <v>43836</v>
          </cell>
          <cell r="D53">
            <v>43843</v>
          </cell>
          <cell r="E53">
            <v>43850</v>
          </cell>
          <cell r="F53">
            <v>43857</v>
          </cell>
          <cell r="G53">
            <v>43864</v>
          </cell>
          <cell r="H53">
            <v>43871</v>
          </cell>
          <cell r="I53">
            <v>43878</v>
          </cell>
          <cell r="J53">
            <v>43885</v>
          </cell>
          <cell r="K53">
            <v>43892</v>
          </cell>
          <cell r="L53">
            <v>43899</v>
          </cell>
          <cell r="M53">
            <v>43906</v>
          </cell>
          <cell r="N53">
            <v>43913</v>
          </cell>
          <cell r="O53">
            <v>43920</v>
          </cell>
          <cell r="P53">
            <v>43927</v>
          </cell>
          <cell r="Q53">
            <v>43934</v>
          </cell>
          <cell r="R53">
            <v>43941</v>
          </cell>
          <cell r="S53">
            <v>43948</v>
          </cell>
          <cell r="T53">
            <v>43955</v>
          </cell>
        </row>
        <row r="54">
          <cell r="B54">
            <v>2019</v>
          </cell>
          <cell r="C54">
            <v>4188</v>
          </cell>
          <cell r="D54">
            <v>4289</v>
          </cell>
          <cell r="E54">
            <v>4397</v>
          </cell>
          <cell r="F54">
            <v>4444</v>
          </cell>
          <cell r="G54">
            <v>4532</v>
          </cell>
          <cell r="H54">
            <v>4474</v>
          </cell>
          <cell r="I54">
            <v>4475</v>
          </cell>
          <cell r="J54">
            <v>4385</v>
          </cell>
          <cell r="K54">
            <v>4668</v>
          </cell>
          <cell r="L54">
            <v>4763</v>
          </cell>
          <cell r="M54">
            <v>4763</v>
          </cell>
          <cell r="N54">
            <v>4752</v>
          </cell>
          <cell r="O54">
            <v>4909</v>
          </cell>
          <cell r="P54">
            <v>4896</v>
          </cell>
          <cell r="Q54">
            <v>4069</v>
          </cell>
          <cell r="R54">
            <v>4554</v>
          </cell>
          <cell r="S54">
            <v>4212</v>
          </cell>
          <cell r="T54">
            <v>4921</v>
          </cell>
        </row>
        <row r="55">
          <cell r="B55">
            <v>2020</v>
          </cell>
          <cell r="C55">
            <v>3608</v>
          </cell>
          <cell r="D55">
            <v>3926</v>
          </cell>
          <cell r="E55">
            <v>4054</v>
          </cell>
          <cell r="F55">
            <v>4134</v>
          </cell>
          <cell r="G55">
            <v>4274</v>
          </cell>
          <cell r="H55">
            <v>4232</v>
          </cell>
          <cell r="I55">
            <v>4188</v>
          </cell>
          <cell r="J55">
            <v>4169</v>
          </cell>
          <cell r="K55">
            <v>4445</v>
          </cell>
          <cell r="L55">
            <v>4460</v>
          </cell>
          <cell r="M55">
            <v>4092</v>
          </cell>
          <cell r="N55">
            <v>1647</v>
          </cell>
          <cell r="O55">
            <v>1126</v>
          </cell>
          <cell r="P55">
            <v>775</v>
          </cell>
          <cell r="Q55">
            <v>635</v>
          </cell>
          <cell r="R55">
            <v>457</v>
          </cell>
          <cell r="S55">
            <v>430</v>
          </cell>
          <cell r="T55">
            <v>565</v>
          </cell>
        </row>
        <row r="58">
          <cell r="C58">
            <v>43836</v>
          </cell>
          <cell r="D58">
            <v>43843</v>
          </cell>
          <cell r="E58">
            <v>43850</v>
          </cell>
          <cell r="F58">
            <v>43857</v>
          </cell>
          <cell r="G58">
            <v>43864</v>
          </cell>
          <cell r="H58">
            <v>43871</v>
          </cell>
          <cell r="I58">
            <v>43878</v>
          </cell>
          <cell r="J58">
            <v>43885</v>
          </cell>
          <cell r="K58">
            <v>43892</v>
          </cell>
          <cell r="L58">
            <v>43899</v>
          </cell>
          <cell r="M58">
            <v>43906</v>
          </cell>
          <cell r="N58">
            <v>43913</v>
          </cell>
          <cell r="O58">
            <v>43920</v>
          </cell>
          <cell r="P58">
            <v>43927</v>
          </cell>
          <cell r="Q58">
            <v>43934</v>
          </cell>
          <cell r="R58">
            <v>43941</v>
          </cell>
          <cell r="S58">
            <v>43948</v>
          </cell>
          <cell r="T58">
            <v>43955</v>
          </cell>
        </row>
        <row r="59">
          <cell r="B59">
            <v>2019</v>
          </cell>
          <cell r="C59">
            <v>6067</v>
          </cell>
          <cell r="D59">
            <v>5918</v>
          </cell>
          <cell r="E59">
            <v>5874</v>
          </cell>
          <cell r="F59">
            <v>5871</v>
          </cell>
          <cell r="G59">
            <v>5836</v>
          </cell>
          <cell r="H59">
            <v>5824</v>
          </cell>
          <cell r="I59">
            <v>5855</v>
          </cell>
          <cell r="J59">
            <v>5858</v>
          </cell>
          <cell r="K59">
            <v>5848</v>
          </cell>
          <cell r="L59">
            <v>5841</v>
          </cell>
          <cell r="M59">
            <v>5857</v>
          </cell>
          <cell r="N59">
            <v>5706</v>
          </cell>
          <cell r="O59">
            <v>5671</v>
          </cell>
          <cell r="P59">
            <v>5660</v>
          </cell>
          <cell r="Q59">
            <v>5102</v>
          </cell>
          <cell r="R59">
            <v>5028</v>
          </cell>
          <cell r="S59">
            <v>4968</v>
          </cell>
          <cell r="T59">
            <v>4872</v>
          </cell>
        </row>
        <row r="60">
          <cell r="B60">
            <v>2020</v>
          </cell>
          <cell r="C60">
            <v>5921</v>
          </cell>
          <cell r="D60">
            <v>5837</v>
          </cell>
          <cell r="E60">
            <v>5768</v>
          </cell>
          <cell r="F60">
            <v>5745</v>
          </cell>
          <cell r="G60">
            <v>5723</v>
          </cell>
          <cell r="H60">
            <v>5629</v>
          </cell>
          <cell r="I60">
            <v>5649</v>
          </cell>
          <cell r="J60">
            <v>5663</v>
          </cell>
          <cell r="K60">
            <v>5677</v>
          </cell>
          <cell r="L60">
            <v>5354</v>
          </cell>
          <cell r="M60">
            <v>4426</v>
          </cell>
          <cell r="N60">
            <v>2420</v>
          </cell>
          <cell r="O60">
            <v>808</v>
          </cell>
          <cell r="P60">
            <v>883</v>
          </cell>
          <cell r="Q60">
            <v>1098</v>
          </cell>
          <cell r="R60">
            <v>1019</v>
          </cell>
          <cell r="S60">
            <v>925</v>
          </cell>
          <cell r="T60">
            <v>1068</v>
          </cell>
        </row>
        <row r="63">
          <cell r="C63">
            <v>43836</v>
          </cell>
          <cell r="D63">
            <v>43843</v>
          </cell>
          <cell r="E63">
            <v>43850</v>
          </cell>
          <cell r="F63">
            <v>43857</v>
          </cell>
          <cell r="G63">
            <v>43864</v>
          </cell>
          <cell r="H63">
            <v>43871</v>
          </cell>
          <cell r="I63">
            <v>43878</v>
          </cell>
          <cell r="J63">
            <v>43885</v>
          </cell>
          <cell r="K63">
            <v>43892</v>
          </cell>
          <cell r="L63">
            <v>43899</v>
          </cell>
          <cell r="M63">
            <v>43906</v>
          </cell>
          <cell r="N63">
            <v>43913</v>
          </cell>
          <cell r="O63">
            <v>43920</v>
          </cell>
          <cell r="P63">
            <v>43927</v>
          </cell>
          <cell r="Q63">
            <v>43934</v>
          </cell>
          <cell r="R63">
            <v>43941</v>
          </cell>
          <cell r="S63">
            <v>43948</v>
          </cell>
          <cell r="T63">
            <v>43955</v>
          </cell>
        </row>
        <row r="64">
          <cell r="B64">
            <v>2019</v>
          </cell>
          <cell r="C64">
            <v>8503</v>
          </cell>
          <cell r="D64">
            <v>8467</v>
          </cell>
          <cell r="E64">
            <v>8506</v>
          </cell>
          <cell r="F64">
            <v>8545</v>
          </cell>
          <cell r="G64">
            <v>8607</v>
          </cell>
          <cell r="H64">
            <v>8501</v>
          </cell>
          <cell r="I64">
            <v>8527</v>
          </cell>
          <cell r="J64">
            <v>8520</v>
          </cell>
          <cell r="K64">
            <v>8394</v>
          </cell>
          <cell r="L64">
            <v>8372</v>
          </cell>
          <cell r="M64">
            <v>8317</v>
          </cell>
          <cell r="N64">
            <v>8357</v>
          </cell>
          <cell r="O64">
            <v>8407</v>
          </cell>
          <cell r="P64">
            <v>8475</v>
          </cell>
          <cell r="Q64">
            <v>8507</v>
          </cell>
          <cell r="R64">
            <v>8562</v>
          </cell>
          <cell r="S64">
            <v>8647</v>
          </cell>
          <cell r="T64">
            <v>8668</v>
          </cell>
        </row>
        <row r="65">
          <cell r="B65">
            <v>2020</v>
          </cell>
          <cell r="C65">
            <v>8655</v>
          </cell>
          <cell r="D65">
            <v>8643</v>
          </cell>
          <cell r="E65">
            <v>8793</v>
          </cell>
          <cell r="F65">
            <v>8663</v>
          </cell>
          <cell r="G65">
            <v>8316</v>
          </cell>
          <cell r="H65">
            <v>7708</v>
          </cell>
          <cell r="I65">
            <v>7185</v>
          </cell>
          <cell r="J65">
            <v>6998</v>
          </cell>
          <cell r="K65">
            <v>5532</v>
          </cell>
          <cell r="L65">
            <v>4014</v>
          </cell>
          <cell r="M65">
            <v>3649</v>
          </cell>
          <cell r="N65">
            <v>3700</v>
          </cell>
          <cell r="O65">
            <v>3652</v>
          </cell>
          <cell r="P65">
            <v>3451</v>
          </cell>
          <cell r="Q65">
            <v>3364</v>
          </cell>
          <cell r="R65">
            <v>3525</v>
          </cell>
          <cell r="S65">
            <v>4455</v>
          </cell>
          <cell r="T65">
            <v>4380</v>
          </cell>
        </row>
        <row r="68">
          <cell r="C68">
            <v>43836</v>
          </cell>
          <cell r="D68">
            <v>43843</v>
          </cell>
          <cell r="E68">
            <v>43850</v>
          </cell>
          <cell r="F68">
            <v>43857</v>
          </cell>
          <cell r="G68">
            <v>43864</v>
          </cell>
          <cell r="H68">
            <v>43871</v>
          </cell>
          <cell r="I68">
            <v>43878</v>
          </cell>
          <cell r="J68">
            <v>43885</v>
          </cell>
          <cell r="K68">
            <v>43892</v>
          </cell>
          <cell r="L68">
            <v>43899</v>
          </cell>
          <cell r="M68">
            <v>43906</v>
          </cell>
          <cell r="N68">
            <v>43913</v>
          </cell>
          <cell r="O68">
            <v>43920</v>
          </cell>
          <cell r="P68">
            <v>43927</v>
          </cell>
          <cell r="Q68">
            <v>43934</v>
          </cell>
          <cell r="R68">
            <v>43941</v>
          </cell>
          <cell r="S68">
            <v>43948</v>
          </cell>
          <cell r="T68">
            <v>43955</v>
          </cell>
        </row>
        <row r="69">
          <cell r="B69">
            <v>2019</v>
          </cell>
          <cell r="C69">
            <v>218070</v>
          </cell>
          <cell r="D69">
            <v>214262</v>
          </cell>
          <cell r="E69">
            <v>216577</v>
          </cell>
          <cell r="F69">
            <v>213778</v>
          </cell>
          <cell r="G69">
            <v>217272</v>
          </cell>
          <cell r="H69">
            <v>218831</v>
          </cell>
          <cell r="I69">
            <v>224524</v>
          </cell>
          <cell r="J69">
            <v>226780</v>
          </cell>
          <cell r="K69">
            <v>235765</v>
          </cell>
          <cell r="L69">
            <v>239663</v>
          </cell>
          <cell r="M69">
            <v>239077</v>
          </cell>
          <cell r="N69">
            <v>238824</v>
          </cell>
          <cell r="O69">
            <v>238423</v>
          </cell>
          <cell r="P69">
            <v>237149</v>
          </cell>
          <cell r="Q69">
            <v>235512</v>
          </cell>
          <cell r="R69">
            <v>237132</v>
          </cell>
          <cell r="S69">
            <v>238291</v>
          </cell>
          <cell r="T69">
            <v>239612</v>
          </cell>
        </row>
        <row r="70">
          <cell r="B70">
            <v>2020</v>
          </cell>
          <cell r="C70">
            <v>221643</v>
          </cell>
          <cell r="D70">
            <v>217001</v>
          </cell>
          <cell r="E70">
            <v>219912</v>
          </cell>
          <cell r="F70">
            <v>218473</v>
          </cell>
          <cell r="G70">
            <v>220628</v>
          </cell>
          <cell r="H70">
            <v>221782</v>
          </cell>
          <cell r="I70">
            <v>227852</v>
          </cell>
          <cell r="J70">
            <v>228230</v>
          </cell>
          <cell r="K70">
            <v>230771</v>
          </cell>
          <cell r="L70">
            <v>236489</v>
          </cell>
          <cell r="M70">
            <v>237920</v>
          </cell>
          <cell r="N70">
            <v>227433</v>
          </cell>
          <cell r="O70">
            <v>183691</v>
          </cell>
          <cell r="P70">
            <v>129861</v>
          </cell>
          <cell r="Q70">
            <v>98955</v>
          </cell>
          <cell r="R70">
            <v>93056</v>
          </cell>
          <cell r="S70">
            <v>86908</v>
          </cell>
          <cell r="T70">
            <v>61006</v>
          </cell>
        </row>
        <row r="73">
          <cell r="C73">
            <v>43836</v>
          </cell>
          <cell r="D73">
            <v>43843</v>
          </cell>
          <cell r="E73">
            <v>43850</v>
          </cell>
          <cell r="F73">
            <v>43857</v>
          </cell>
          <cell r="G73">
            <v>43864</v>
          </cell>
          <cell r="H73">
            <v>43871</v>
          </cell>
          <cell r="I73">
            <v>43878</v>
          </cell>
          <cell r="J73">
            <v>43885</v>
          </cell>
          <cell r="K73">
            <v>43892</v>
          </cell>
          <cell r="L73">
            <v>43899</v>
          </cell>
          <cell r="M73">
            <v>43906</v>
          </cell>
          <cell r="N73">
            <v>43913</v>
          </cell>
          <cell r="O73">
            <v>43920</v>
          </cell>
          <cell r="P73">
            <v>43927</v>
          </cell>
          <cell r="Q73">
            <v>43934</v>
          </cell>
          <cell r="R73">
            <v>43941</v>
          </cell>
          <cell r="S73">
            <v>43948</v>
          </cell>
          <cell r="T73">
            <v>43955</v>
          </cell>
        </row>
        <row r="74">
          <cell r="B74">
            <v>2019</v>
          </cell>
          <cell r="C74">
            <v>30012</v>
          </cell>
          <cell r="D74">
            <v>29896</v>
          </cell>
          <cell r="E74">
            <v>29531</v>
          </cell>
          <cell r="F74">
            <v>30167</v>
          </cell>
          <cell r="G74">
            <v>29719</v>
          </cell>
          <cell r="H74">
            <v>28783</v>
          </cell>
          <cell r="I74">
            <v>27800</v>
          </cell>
          <cell r="J74">
            <v>29032</v>
          </cell>
          <cell r="K74">
            <v>28275</v>
          </cell>
          <cell r="L74">
            <v>28025</v>
          </cell>
          <cell r="M74">
            <v>27775</v>
          </cell>
          <cell r="N74">
            <v>26686</v>
          </cell>
          <cell r="O74">
            <v>26861</v>
          </cell>
          <cell r="P74">
            <v>27062</v>
          </cell>
          <cell r="Q74">
            <v>27105</v>
          </cell>
          <cell r="R74">
            <v>27297</v>
          </cell>
          <cell r="S74">
            <v>27100</v>
          </cell>
          <cell r="T74">
            <v>27358</v>
          </cell>
        </row>
        <row r="75">
          <cell r="B75">
            <v>2020</v>
          </cell>
          <cell r="C75">
            <v>30881</v>
          </cell>
          <cell r="D75">
            <v>30732</v>
          </cell>
          <cell r="E75">
            <v>29996</v>
          </cell>
          <cell r="F75">
            <v>30514</v>
          </cell>
          <cell r="G75">
            <v>30283</v>
          </cell>
          <cell r="H75">
            <v>30578</v>
          </cell>
          <cell r="I75">
            <v>30796</v>
          </cell>
          <cell r="J75">
            <v>30965</v>
          </cell>
          <cell r="K75">
            <v>31071</v>
          </cell>
          <cell r="L75">
            <v>30814</v>
          </cell>
          <cell r="M75">
            <v>30082</v>
          </cell>
          <cell r="N75">
            <v>27170</v>
          </cell>
          <cell r="O75">
            <v>8589</v>
          </cell>
          <cell r="P75">
            <v>7833</v>
          </cell>
          <cell r="Q75">
            <v>5436</v>
          </cell>
          <cell r="R75">
            <v>3147</v>
          </cell>
          <cell r="S75">
            <v>1740</v>
          </cell>
          <cell r="T75">
            <v>2491</v>
          </cell>
        </row>
        <row r="78">
          <cell r="C78">
            <v>43836</v>
          </cell>
          <cell r="D78">
            <v>43843</v>
          </cell>
          <cell r="E78">
            <v>43850</v>
          </cell>
          <cell r="F78">
            <v>43857</v>
          </cell>
          <cell r="G78">
            <v>43864</v>
          </cell>
          <cell r="H78">
            <v>43871</v>
          </cell>
          <cell r="I78">
            <v>43878</v>
          </cell>
          <cell r="J78">
            <v>43885</v>
          </cell>
          <cell r="K78">
            <v>43892</v>
          </cell>
          <cell r="L78">
            <v>43899</v>
          </cell>
          <cell r="M78">
            <v>43906</v>
          </cell>
          <cell r="N78">
            <v>43913</v>
          </cell>
          <cell r="O78">
            <v>43920</v>
          </cell>
          <cell r="P78">
            <v>43927</v>
          </cell>
          <cell r="Q78">
            <v>43934</v>
          </cell>
          <cell r="R78">
            <v>43941</v>
          </cell>
          <cell r="S78">
            <v>43948</v>
          </cell>
          <cell r="T78">
            <v>43955</v>
          </cell>
        </row>
        <row r="79">
          <cell r="B79">
            <v>2019</v>
          </cell>
          <cell r="C79">
            <v>106621</v>
          </cell>
          <cell r="D79">
            <v>109024</v>
          </cell>
          <cell r="E79">
            <v>113547</v>
          </cell>
          <cell r="F79">
            <v>116147</v>
          </cell>
          <cell r="G79">
            <v>110053</v>
          </cell>
          <cell r="H79">
            <v>116368</v>
          </cell>
          <cell r="I79">
            <v>114363</v>
          </cell>
          <cell r="J79">
            <v>111622</v>
          </cell>
          <cell r="K79">
            <v>108105</v>
          </cell>
          <cell r="L79">
            <v>107255</v>
          </cell>
          <cell r="M79">
            <v>105151</v>
          </cell>
          <cell r="N79">
            <v>105193</v>
          </cell>
          <cell r="O79">
            <v>108927</v>
          </cell>
          <cell r="P79">
            <v>110945</v>
          </cell>
          <cell r="Q79">
            <v>111152</v>
          </cell>
          <cell r="R79">
            <v>109834</v>
          </cell>
          <cell r="S79">
            <v>109887</v>
          </cell>
          <cell r="T79">
            <v>109471</v>
          </cell>
        </row>
        <row r="80">
          <cell r="B80">
            <v>2020</v>
          </cell>
          <cell r="C80">
            <v>114888</v>
          </cell>
          <cell r="D80">
            <v>118650</v>
          </cell>
          <cell r="E80">
            <v>115396</v>
          </cell>
          <cell r="F80">
            <v>115588</v>
          </cell>
          <cell r="G80">
            <v>85110</v>
          </cell>
          <cell r="H80">
            <v>42761</v>
          </cell>
          <cell r="I80">
            <v>33397</v>
          </cell>
          <cell r="J80">
            <v>42046</v>
          </cell>
          <cell r="K80">
            <v>63179</v>
          </cell>
          <cell r="L80">
            <v>61200</v>
          </cell>
          <cell r="M80">
            <v>64426</v>
          </cell>
          <cell r="N80">
            <v>65735</v>
          </cell>
          <cell r="O80">
            <v>61072</v>
          </cell>
          <cell r="P80">
            <v>59699</v>
          </cell>
          <cell r="Q80">
            <v>63787</v>
          </cell>
          <cell r="R80">
            <v>63298</v>
          </cell>
          <cell r="S80">
            <v>66837</v>
          </cell>
          <cell r="T80">
            <v>74459</v>
          </cell>
        </row>
        <row r="83">
          <cell r="C83">
            <v>43836</v>
          </cell>
          <cell r="D83">
            <v>43843</v>
          </cell>
          <cell r="E83">
            <v>43850</v>
          </cell>
          <cell r="F83">
            <v>43857</v>
          </cell>
          <cell r="G83">
            <v>43864</v>
          </cell>
          <cell r="H83">
            <v>43871</v>
          </cell>
          <cell r="I83">
            <v>43878</v>
          </cell>
          <cell r="J83">
            <v>43885</v>
          </cell>
          <cell r="K83">
            <v>43892</v>
          </cell>
          <cell r="L83">
            <v>43899</v>
          </cell>
          <cell r="M83">
            <v>43906</v>
          </cell>
          <cell r="N83">
            <v>43913</v>
          </cell>
          <cell r="O83">
            <v>43920</v>
          </cell>
          <cell r="P83">
            <v>43927</v>
          </cell>
          <cell r="Q83">
            <v>43934</v>
          </cell>
          <cell r="R83">
            <v>43941</v>
          </cell>
          <cell r="S83">
            <v>43948</v>
          </cell>
          <cell r="T83">
            <v>43955</v>
          </cell>
        </row>
        <row r="84">
          <cell r="B84">
            <v>2019</v>
          </cell>
          <cell r="C84">
            <v>21892</v>
          </cell>
          <cell r="D84">
            <v>21940</v>
          </cell>
          <cell r="E84">
            <v>22030</v>
          </cell>
          <cell r="F84">
            <v>22106</v>
          </cell>
          <cell r="G84">
            <v>22239</v>
          </cell>
          <cell r="H84">
            <v>22131</v>
          </cell>
          <cell r="I84">
            <v>22049</v>
          </cell>
          <cell r="J84">
            <v>22188</v>
          </cell>
          <cell r="K84">
            <v>22204</v>
          </cell>
          <cell r="L84">
            <v>22230</v>
          </cell>
          <cell r="M84">
            <v>22364</v>
          </cell>
          <cell r="N84">
            <v>22589</v>
          </cell>
          <cell r="O84">
            <v>22925</v>
          </cell>
          <cell r="P84">
            <v>22730</v>
          </cell>
          <cell r="Q84">
            <v>22747</v>
          </cell>
          <cell r="R84">
            <v>22920</v>
          </cell>
          <cell r="S84">
            <v>23344</v>
          </cell>
          <cell r="T84">
            <v>22559</v>
          </cell>
        </row>
        <row r="85">
          <cell r="B85">
            <v>2020</v>
          </cell>
          <cell r="C85">
            <v>22466</v>
          </cell>
          <cell r="D85">
            <v>22434</v>
          </cell>
          <cell r="E85">
            <v>22595</v>
          </cell>
          <cell r="F85">
            <v>22564</v>
          </cell>
          <cell r="G85">
            <v>22066</v>
          </cell>
          <cell r="H85">
            <v>21423</v>
          </cell>
          <cell r="I85">
            <v>21040</v>
          </cell>
          <cell r="J85">
            <v>20954</v>
          </cell>
          <cell r="K85">
            <v>20523</v>
          </cell>
          <cell r="L85">
            <v>18906</v>
          </cell>
          <cell r="M85">
            <v>18063</v>
          </cell>
          <cell r="N85">
            <v>17103</v>
          </cell>
          <cell r="O85">
            <v>16532</v>
          </cell>
          <cell r="P85">
            <v>15451</v>
          </cell>
          <cell r="Q85">
            <v>13633</v>
          </cell>
          <cell r="R85">
            <v>12749</v>
          </cell>
          <cell r="S85">
            <v>12925</v>
          </cell>
          <cell r="T85">
            <v>11950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Custom 4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C00000"/>
    </a:accent1>
    <a:accent2>
      <a:srgbClr val="70AD47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Custom 4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C00000"/>
    </a:accent1>
    <a:accent2>
      <a:srgbClr val="70AD47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ag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CD57-9FEA-4328-BAE8-BD82E6E9EB75}">
  <dimension ref="A1:P73"/>
  <sheetViews>
    <sheetView tabSelected="1" zoomScale="70" zoomScaleNormal="70" workbookViewId="0">
      <selection activeCell="D74" sqref="D73:D74"/>
    </sheetView>
  </sheetViews>
  <sheetFormatPr defaultRowHeight="14.5" x14ac:dyDescent="0.35"/>
  <cols>
    <col min="1" max="1" width="23.54296875" customWidth="1"/>
    <col min="2" max="2" width="16.7265625" customWidth="1"/>
    <col min="3" max="10" width="13.1796875" customWidth="1"/>
    <col min="11" max="11" width="13.1796875" style="1" customWidth="1"/>
    <col min="12" max="14" width="13.1796875" customWidth="1"/>
  </cols>
  <sheetData>
    <row r="1" spans="1:16" ht="26" x14ac:dyDescent="0.6">
      <c r="A1" s="15" t="s">
        <v>33</v>
      </c>
      <c r="B1" s="1"/>
      <c r="C1" s="1"/>
      <c r="D1" s="1"/>
      <c r="E1" s="1"/>
      <c r="F1" s="1"/>
      <c r="G1" s="1"/>
      <c r="H1" s="1"/>
      <c r="I1" s="1"/>
      <c r="J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L2" s="1"/>
      <c r="M2" s="1"/>
      <c r="N2" s="1"/>
      <c r="O2" s="1"/>
      <c r="P2" s="1"/>
    </row>
    <row r="3" spans="1:16" ht="17.5" x14ac:dyDescent="0.35">
      <c r="A3" s="16" t="s">
        <v>21</v>
      </c>
      <c r="B3" s="1"/>
      <c r="C3" s="1"/>
      <c r="D3" s="1"/>
      <c r="E3" s="1"/>
      <c r="F3" s="1"/>
      <c r="G3" s="1"/>
      <c r="H3" s="1"/>
      <c r="I3" s="1"/>
      <c r="J3" s="1"/>
      <c r="L3" s="1"/>
      <c r="M3" s="1"/>
      <c r="N3" s="1"/>
      <c r="O3" s="1"/>
      <c r="P3" s="1"/>
    </row>
    <row r="4" spans="1:16" x14ac:dyDescent="0.35">
      <c r="A4" s="17" t="s">
        <v>22</v>
      </c>
      <c r="B4" s="1"/>
      <c r="C4" s="1"/>
      <c r="D4" s="1"/>
      <c r="E4" s="1"/>
      <c r="F4" s="1"/>
      <c r="G4" s="1"/>
      <c r="H4" s="1"/>
      <c r="I4" s="1"/>
      <c r="J4" s="1"/>
      <c r="L4" s="1"/>
      <c r="M4" s="1"/>
      <c r="N4" s="1"/>
      <c r="O4" s="1"/>
      <c r="P4" s="1"/>
    </row>
    <row r="5" spans="1:16" x14ac:dyDescent="0.35">
      <c r="A5" s="1"/>
      <c r="B5" s="1"/>
      <c r="E5" s="1"/>
      <c r="F5" s="1"/>
      <c r="G5" s="1"/>
      <c r="H5" s="1"/>
      <c r="I5" s="1"/>
      <c r="J5" s="1"/>
      <c r="L5" s="1"/>
      <c r="M5" s="1"/>
      <c r="N5" s="1"/>
      <c r="O5" s="1"/>
      <c r="P5" s="1"/>
    </row>
    <row r="6" spans="1:16" x14ac:dyDescent="0.35">
      <c r="A6" s="1"/>
      <c r="B6" s="1"/>
      <c r="C6" s="1">
        <v>1</v>
      </c>
      <c r="D6" s="1">
        <v>2</v>
      </c>
      <c r="E6" s="1"/>
      <c r="F6" s="1"/>
      <c r="G6" s="1"/>
      <c r="H6" s="1"/>
      <c r="I6" s="1"/>
      <c r="J6" s="1"/>
      <c r="L6" s="1"/>
      <c r="M6" s="4"/>
      <c r="N6" s="1"/>
    </row>
    <row r="7" spans="1:16" x14ac:dyDescent="0.35">
      <c r="B7" s="1" t="s">
        <v>23</v>
      </c>
      <c r="C7" s="4" t="s">
        <v>24</v>
      </c>
      <c r="D7" s="4" t="s">
        <v>25</v>
      </c>
      <c r="E7" s="4">
        <v>43892</v>
      </c>
      <c r="F7" s="4">
        <v>43899</v>
      </c>
      <c r="G7" s="4">
        <v>43906</v>
      </c>
      <c r="H7" s="4">
        <v>43913</v>
      </c>
      <c r="I7" s="4">
        <v>43920</v>
      </c>
      <c r="J7" s="4">
        <v>43927</v>
      </c>
      <c r="K7" s="4">
        <v>43934</v>
      </c>
      <c r="L7" s="4">
        <v>43941</v>
      </c>
      <c r="M7" s="4">
        <v>43948</v>
      </c>
      <c r="N7" s="4">
        <v>43955</v>
      </c>
    </row>
    <row r="8" spans="1:16" x14ac:dyDescent="0.35">
      <c r="A8" s="3" t="s">
        <v>27</v>
      </c>
      <c r="B8" s="1" t="s">
        <v>5</v>
      </c>
      <c r="C8" s="5">
        <f>VLOOKUP($A8, '[1]% Change month'!$C$7:$F$236,1+C$6,FALSE)</f>
        <v>8.4456683519127385E-3</v>
      </c>
      <c r="D8" s="5">
        <f>VLOOKUP($A8, '[1]% Change month'!$C$7:$F$236,1+D$6,FALSE)</f>
        <v>-8.6091378679128638E-2</v>
      </c>
      <c r="E8" s="5">
        <f>'[1]3 Results'!K11</f>
        <v>-7.9269575922427449E-2</v>
      </c>
      <c r="F8" s="5">
        <f>'[1]3 Results'!L11</f>
        <v>-0.10084136302261537</v>
      </c>
      <c r="G8" s="5">
        <f>'[1]3 Results'!M11</f>
        <v>-0.12388636684329091</v>
      </c>
      <c r="H8" s="5">
        <f>'[1]3 Results'!N11</f>
        <v>-0.28713050121615302</v>
      </c>
      <c r="I8" s="5">
        <f>'[1]3 Results'!O11</f>
        <v>-0.47658577762048471</v>
      </c>
      <c r="J8" s="5">
        <f>'[1]3 Results'!P11</f>
        <v>-0.5918391844176033</v>
      </c>
      <c r="K8" s="5">
        <f>'[1]3 Results'!Q11</f>
        <v>-0.64944026585274039</v>
      </c>
      <c r="L8" s="5">
        <f>'[1]3 Results'!R11</f>
        <v>-0.67158482126976371</v>
      </c>
      <c r="M8" s="5">
        <f>'[1]3 Results'!S11</f>
        <v>-0.66833789572147184</v>
      </c>
      <c r="N8" s="5">
        <f>'[1]3 Results'!T11</f>
        <v>-0.69921190010682688</v>
      </c>
    </row>
    <row r="9" spans="1:16" x14ac:dyDescent="0.35">
      <c r="A9" s="3" t="s">
        <v>6</v>
      </c>
      <c r="B9" s="1" t="s">
        <v>6</v>
      </c>
      <c r="C9" s="5">
        <f>VLOOKUP($A9, '[1]% Change month'!$C$7:$F$236,1+C$6,FALSE)</f>
        <v>-3.7489116888881346E-2</v>
      </c>
      <c r="D9" s="5">
        <f>VLOOKUP($A9, '[1]% Change month'!$C$7:$F$236,1+D$6,FALSE)</f>
        <v>-1.8153027409112399E-2</v>
      </c>
      <c r="E9" s="5">
        <f>VLOOKUP($B9,'[1]% Change week'!$C$7:$AB$236,'[1]% Change week'!L$6+1,FALSE)</f>
        <v>-1.446267999748474E-2</v>
      </c>
      <c r="F9" s="5">
        <f>VLOOKUP($B9,'[1]% Change week'!$C$7:$AB$236,'[1]% Change week'!M$6+1,FALSE)</f>
        <v>-2.8784244413584181E-2</v>
      </c>
      <c r="G9" s="5">
        <f>VLOOKUP($B9,'[1]% Change week'!$C$7:$AB$236,'[1]% Change week'!N$6+1,FALSE)</f>
        <v>-0.13724870400809208</v>
      </c>
      <c r="H9" s="5">
        <f>VLOOKUP($B9,'[1]% Change week'!$C$7:$AB$236,'[1]% Change week'!O$6+1,FALSE)</f>
        <v>-0.74319090454772607</v>
      </c>
      <c r="I9" s="5">
        <f>VLOOKUP($B9,'[1]% Change week'!$C$7:$AB$236,'[1]% Change week'!P$6+1,FALSE)</f>
        <v>-0.88484684196259145</v>
      </c>
      <c r="J9" s="5">
        <f>VLOOKUP($B9,'[1]% Change week'!$C$7:$AB$236,'[1]% Change week'!Q$6+1,FALSE)</f>
        <v>-0.92582055739950475</v>
      </c>
      <c r="K9" s="5">
        <f>VLOOKUP($B9,'[1]% Change week'!$C$7:$AB$236,'[1]% Change week'!R$6+1,FALSE)</f>
        <v>-0.94245055979910008</v>
      </c>
      <c r="L9" s="5">
        <f>VLOOKUP($B9,'[1]% Change week'!$C$7:$AB$236,'[1]% Change week'!S$6+1,FALSE)</f>
        <v>-0.95061028995210384</v>
      </c>
      <c r="M9" s="5">
        <f>VLOOKUP($B9,'[1]% Change week'!$C$7:$AB$236,'[1]% Change week'!T$6+1,FALSE)</f>
        <v>-0.94138663076684104</v>
      </c>
      <c r="N9" s="5">
        <f>VLOOKUP($B9,'[1]% Change week'!$C$7:$AB$236,'[1]% Change week'!U$6+1,FALSE)</f>
        <v>-0.92284440801270562</v>
      </c>
    </row>
    <row r="10" spans="1:16" x14ac:dyDescent="0.35">
      <c r="A10" s="3" t="s">
        <v>28</v>
      </c>
      <c r="B10" s="1" t="s">
        <v>7</v>
      </c>
      <c r="C10" s="5">
        <f>VLOOKUP($A10, '[1]% Change month'!$C$7:$F$236,1+C$6,FALSE)</f>
        <v>-9.6808510638297873E-2</v>
      </c>
      <c r="D10" s="5">
        <f>VLOOKUP($A10, '[1]% Change month'!$C$7:$F$236,1+D$6,FALSE)</f>
        <v>-0.4648352374034207</v>
      </c>
      <c r="E10" s="5">
        <f>VLOOKUP("Hong Kong (sar) China",'[1]% Change week'!$C$7:$AB$236,'[1]% Change week'!L$6+1,FALSE)</f>
        <v>-0.70386382058902996</v>
      </c>
      <c r="F10" s="5">
        <f>VLOOKUP("Hong Kong (sar) China",'[1]% Change week'!$C$7:$AB$236,'[1]% Change week'!M$6+1,FALSE)</f>
        <v>-0.77544990598979324</v>
      </c>
      <c r="G10" s="5">
        <f>VLOOKUP("Hong Kong (sar) China",'[1]% Change week'!$C$7:$AB$236,'[1]% Change week'!N$6+1,FALSE)</f>
        <v>-0.80759967888680761</v>
      </c>
      <c r="H10" s="5">
        <f>VLOOKUP("Hong Kong (sar) China",'[1]% Change week'!$C$7:$AB$236,'[1]% Change week'!O$6+1,FALSE)</f>
        <v>-0.81650641025641024</v>
      </c>
      <c r="I10" s="5">
        <f>VLOOKUP("Hong Kong (sar) China",'[1]% Change week'!$C$7:$AB$236,'[1]% Change week'!P$6+1,FALSE)</f>
        <v>-0.88260405549626464</v>
      </c>
      <c r="J10" s="5">
        <f>VLOOKUP("Hong Kong (sar) China",'[1]% Change week'!$C$7:$AB$236,'[1]% Change week'!Q$6+1,FALSE)</f>
        <v>-0.92272727272727273</v>
      </c>
      <c r="K10" s="5">
        <f>VLOOKUP("Hong Kong (sar) China",'[1]% Change week'!$C$7:$AB$236,'[1]% Change week'!R$6+1,FALSE)</f>
        <v>-0.94172185430463573</v>
      </c>
      <c r="L10" s="5">
        <f>VLOOKUP("Hong Kong (sar) China",'[1]% Change week'!$C$7:$AB$236,'[1]% Change week'!S$6+1,FALSE)</f>
        <v>-0.94489849723174268</v>
      </c>
      <c r="M10" s="5">
        <f>VLOOKUP("Hong Kong (sar) China",'[1]% Change week'!$C$7:$AB$236,'[1]% Change week'!T$6+1,FALSE)</f>
        <v>-0.93159006867406235</v>
      </c>
      <c r="N10" s="5">
        <f>VLOOKUP("Hong Kong (sar) China",'[1]% Change week'!$C$7:$AB$236,'[1]% Change week'!U$6+1,FALSE)</f>
        <v>-0.93557046979865777</v>
      </c>
    </row>
    <row r="11" spans="1:16" x14ac:dyDescent="0.35">
      <c r="A11" s="3" t="s">
        <v>8</v>
      </c>
      <c r="B11" s="1" t="s">
        <v>8</v>
      </c>
      <c r="C11" s="5">
        <f>VLOOKUP($A11, '[1]% Change month'!$C$7:$F$236,1+C$6,FALSE)</f>
        <v>-8.5473138927343317E-2</v>
      </c>
      <c r="D11" s="5">
        <f>VLOOKUP($A11, '[1]% Change month'!$C$7:$F$236,1+D$6,FALSE)</f>
        <v>-6.8738458895775789E-2</v>
      </c>
      <c r="E11" s="5">
        <f>VLOOKUP($B11,'[1]% Change week'!$C$7:$AB$236,'[1]% Change week'!L$6+1,FALSE)</f>
        <v>-4.9994325275224183E-2</v>
      </c>
      <c r="F11" s="5">
        <f>VLOOKUP($B11,'[1]% Change week'!$C$7:$AB$236,'[1]% Change week'!M$6+1,FALSE)</f>
        <v>-0.15378065395095364</v>
      </c>
      <c r="G11" s="5">
        <f>VLOOKUP($B11,'[1]% Change week'!$C$7:$AB$236,'[1]% Change week'!N$6+1,FALSE)</f>
        <v>-0.30232558139534882</v>
      </c>
      <c r="H11" s="5">
        <f>VLOOKUP($B11,'[1]% Change week'!$C$7:$AB$236,'[1]% Change week'!O$6+1,FALSE)</f>
        <v>-0.71876580677794633</v>
      </c>
      <c r="I11" s="5">
        <f>VLOOKUP($B11,'[1]% Change week'!$C$7:$AB$236,'[1]% Change week'!P$6+1,FALSE)</f>
        <v>-0.88561643835616444</v>
      </c>
      <c r="J11" s="5">
        <f>VLOOKUP($B11,'[1]% Change week'!$C$7:$AB$236,'[1]% Change week'!Q$6+1,FALSE)</f>
        <v>-0.92602213101979325</v>
      </c>
      <c r="K11" s="5">
        <f>VLOOKUP($B11,'[1]% Change week'!$C$7:$AB$236,'[1]% Change week'!R$6+1,FALSE)</f>
        <v>-0.92453653217012</v>
      </c>
      <c r="L11" s="5">
        <f>VLOOKUP($B11,'[1]% Change week'!$C$7:$AB$236,'[1]% Change week'!S$6+1,FALSE)</f>
        <v>-0.93697568227673356</v>
      </c>
      <c r="M11" s="5">
        <f>VLOOKUP($B11,'[1]% Change week'!$C$7:$AB$236,'[1]% Change week'!T$6+1,FALSE)</f>
        <v>-0.92862680241872964</v>
      </c>
      <c r="N11" s="5">
        <f>VLOOKUP($B11,'[1]% Change week'!$C$7:$AB$236,'[1]% Change week'!U$6+1,FALSE)</f>
        <v>-0.90476671379519291</v>
      </c>
    </row>
    <row r="12" spans="1:16" x14ac:dyDescent="0.35">
      <c r="A12" s="3" t="s">
        <v>9</v>
      </c>
      <c r="B12" s="1" t="s">
        <v>9</v>
      </c>
      <c r="C12" s="5">
        <f>VLOOKUP($A12, '[1]% Change month'!$C$7:$F$236,1+C$6,FALSE)</f>
        <v>-7.0229202579330519E-4</v>
      </c>
      <c r="D12" s="5">
        <f>VLOOKUP($A12, '[1]% Change month'!$C$7:$F$236,1+D$6,FALSE)</f>
        <v>-0.16078184110970994</v>
      </c>
      <c r="E12" s="5">
        <f>VLOOKUP($B12,'[1]% Change week'!$C$7:$AB$236,'[1]% Change week'!L$6+1,FALSE)</f>
        <v>-0.25412371134020617</v>
      </c>
      <c r="F12" s="5">
        <f>VLOOKUP($B12,'[1]% Change week'!$C$7:$AB$236,'[1]% Change week'!M$6+1,FALSE)</f>
        <v>-0.35657523711868755</v>
      </c>
      <c r="G12" s="5">
        <f>VLOOKUP($B12,'[1]% Change week'!$C$7:$AB$236,'[1]% Change week'!N$6+1,FALSE)</f>
        <v>-0.35493412207582686</v>
      </c>
      <c r="H12" s="5">
        <f>VLOOKUP($B12,'[1]% Change week'!$C$7:$AB$236,'[1]% Change week'!O$6+1,FALSE)</f>
        <v>-0.76935527380631241</v>
      </c>
      <c r="I12" s="5">
        <f>VLOOKUP($B12,'[1]% Change week'!$C$7:$AB$236,'[1]% Change week'!P$6+1,FALSE)</f>
        <v>-0.90796887577139795</v>
      </c>
      <c r="J12" s="5">
        <f>VLOOKUP($B12,'[1]% Change week'!$C$7:$AB$236,'[1]% Change week'!Q$6+1,FALSE)</f>
        <v>-0.89887339055793991</v>
      </c>
      <c r="K12" s="5">
        <f>VLOOKUP($B12,'[1]% Change week'!$C$7:$AB$236,'[1]% Change week'!R$6+1,FALSE)</f>
        <v>-0.92474558114622385</v>
      </c>
      <c r="L12" s="5">
        <f>VLOOKUP($B12,'[1]% Change week'!$C$7:$AB$236,'[1]% Change week'!S$6+1,FALSE)</f>
        <v>-0.97102604997341835</v>
      </c>
      <c r="M12" s="5">
        <f>VLOOKUP($B12,'[1]% Change week'!$C$7:$AB$236,'[1]% Change week'!T$6+1,FALSE)</f>
        <v>-0.95858773559861954</v>
      </c>
      <c r="N12" s="5">
        <f>VLOOKUP($B12,'[1]% Change week'!$C$7:$AB$236,'[1]% Change week'!U$6+1,FALSE)</f>
        <v>-0.97005988023952094</v>
      </c>
    </row>
    <row r="13" spans="1:16" x14ac:dyDescent="0.35">
      <c r="A13" s="3" t="s">
        <v>10</v>
      </c>
      <c r="B13" s="1" t="s">
        <v>10</v>
      </c>
      <c r="C13" s="5">
        <f>VLOOKUP($A13, '[1]% Change month'!$C$7:$F$236,1+C$6,FALSE)</f>
        <v>-3.2709124834206293E-2</v>
      </c>
      <c r="D13" s="5">
        <f>VLOOKUP($A13, '[1]% Change month'!$C$7:$F$236,1+D$6,FALSE)</f>
        <v>-4.2005095485922128E-2</v>
      </c>
      <c r="E13" s="5">
        <f>VLOOKUP($B13,'[1]% Change week'!$C$7:$AB$236,'[1]% Change week'!L$6+1,FALSE)</f>
        <v>-8.8087828492392828E-2</v>
      </c>
      <c r="F13" s="5">
        <f>VLOOKUP($B13,'[1]% Change week'!$C$7:$AB$236,'[1]% Change week'!M$6+1,FALSE)</f>
        <v>-0.21619986168741356</v>
      </c>
      <c r="G13" s="5">
        <f>VLOOKUP($B13,'[1]% Change week'!$C$7:$AB$236,'[1]% Change week'!N$6+1,FALSE)</f>
        <v>-0.73906642417944057</v>
      </c>
      <c r="H13" s="5">
        <f>VLOOKUP($B13,'[1]% Change week'!$C$7:$AB$236,'[1]% Change week'!O$6+1,FALSE)</f>
        <v>-0.88003472222222223</v>
      </c>
      <c r="I13" s="5">
        <f>VLOOKUP($B13,'[1]% Change week'!$C$7:$AB$236,'[1]% Change week'!P$6+1,FALSE)</f>
        <v>-0.8920937800458546</v>
      </c>
      <c r="J13" s="5">
        <f>VLOOKUP($B13,'[1]% Change week'!$C$7:$AB$236,'[1]% Change week'!Q$6+1,FALSE)</f>
        <v>-0.88966021191085132</v>
      </c>
      <c r="K13" s="5">
        <f>VLOOKUP($B13,'[1]% Change week'!$C$7:$AB$236,'[1]% Change week'!R$6+1,FALSE)</f>
        <v>-0.92244105807935595</v>
      </c>
      <c r="L13" s="5">
        <f>VLOOKUP($B13,'[1]% Change week'!$C$7:$AB$236,'[1]% Change week'!S$6+1,FALSE)</f>
        <v>-0.81245074862096134</v>
      </c>
      <c r="M13" s="5">
        <f>VLOOKUP($B13,'[1]% Change week'!$C$7:$AB$236,'[1]% Change week'!T$6+1,FALSE)</f>
        <v>-0.80168175016033638</v>
      </c>
      <c r="N13" s="5">
        <f>VLOOKUP($B13,'[1]% Change week'!$C$7:$AB$236,'[1]% Change week'!U$6+1,FALSE)</f>
        <v>-0.78092221048926436</v>
      </c>
    </row>
    <row r="14" spans="1:16" x14ac:dyDescent="0.35">
      <c r="A14" s="3" t="s">
        <v>11</v>
      </c>
      <c r="B14" s="1" t="s">
        <v>11</v>
      </c>
      <c r="C14" s="5">
        <f>VLOOKUP($A14, '[1]% Change month'!$C$7:$F$236,1+C$6,FALSE)</f>
        <v>-8.0928196870225788E-3</v>
      </c>
      <c r="D14" s="5">
        <f>VLOOKUP($A14, '[1]% Change month'!$C$7:$F$236,1+D$6,FALSE)</f>
        <v>3.808912856083202E-3</v>
      </c>
      <c r="E14" s="5">
        <f>VLOOKUP($B14,'[1]% Change week'!$C$7:$AB$236,'[1]% Change week'!L$6+1,FALSE)</f>
        <v>-2.0135799578553049E-2</v>
      </c>
      <c r="F14" s="5">
        <f>VLOOKUP($B14,'[1]% Change week'!$C$7:$AB$236,'[1]% Change week'!M$6+1,FALSE)</f>
        <v>-3.8308609879186384E-2</v>
      </c>
      <c r="G14" s="5">
        <f>VLOOKUP($B14,'[1]% Change week'!$C$7:$AB$236,'[1]% Change week'!N$6+1,FALSE)</f>
        <v>-0.13665320074580489</v>
      </c>
      <c r="H14" s="5">
        <f>VLOOKUP($B14,'[1]% Change week'!$C$7:$AB$236,'[1]% Change week'!O$6+1,FALSE)</f>
        <v>-0.41270688734650296</v>
      </c>
      <c r="I14" s="5">
        <f>VLOOKUP($B14,'[1]% Change week'!$C$7:$AB$236,'[1]% Change week'!P$6+1,FALSE)</f>
        <v>-0.81412815481426348</v>
      </c>
      <c r="J14" s="5">
        <f>VLOOKUP($B14,'[1]% Change week'!$C$7:$AB$236,'[1]% Change week'!Q$6+1,FALSE)</f>
        <v>-0.86972901520158619</v>
      </c>
      <c r="K14" s="5">
        <f>VLOOKUP($B14,'[1]% Change week'!$C$7:$AB$236,'[1]% Change week'!R$6+1,FALSE)</f>
        <v>-0.92062656311701985</v>
      </c>
      <c r="L14" s="5">
        <f>VLOOKUP($B14,'[1]% Change week'!$C$7:$AB$236,'[1]% Change week'!S$6+1,FALSE)</f>
        <v>-0.91702169495969066</v>
      </c>
      <c r="M14" s="5">
        <f>VLOOKUP($B14,'[1]% Change week'!$C$7:$AB$236,'[1]% Change week'!T$6+1,FALSE)</f>
        <v>-0.9176805078021687</v>
      </c>
      <c r="N14" s="5">
        <f>VLOOKUP($B14,'[1]% Change week'!$C$7:$AB$236,'[1]% Change week'!U$6+1,FALSE)</f>
        <v>-0.91906426458725465</v>
      </c>
    </row>
    <row r="15" spans="1:16" x14ac:dyDescent="0.35">
      <c r="A15" s="3" t="s">
        <v>29</v>
      </c>
      <c r="B15" s="1" t="s">
        <v>12</v>
      </c>
      <c r="C15" s="5">
        <f>VLOOKUP($A15, '[1]% Change month'!$C$7:$F$236,1+C$6,FALSE)</f>
        <v>-3.7875088933219891E-2</v>
      </c>
      <c r="D15" s="5">
        <f>VLOOKUP($A15, '[1]% Change month'!$C$7:$F$236,1+D$6,FALSE)</f>
        <v>-3.2799023173646469E-2</v>
      </c>
      <c r="E15" s="5">
        <f>VLOOKUP("United Kingdom",'[1]% Change week'!$C$7:$AB$236,'[1]% Change week'!L$6+1,FALSE)</f>
        <v>-2.7254098360655732E-2</v>
      </c>
      <c r="F15" s="5">
        <f>VLOOKUP("United Kingdom",'[1]% Change week'!$C$7:$AB$236,'[1]% Change week'!M$6+1,FALSE)</f>
        <v>-0.15505102040816332</v>
      </c>
      <c r="G15" s="5">
        <f>VLOOKUP("United Kingdom",'[1]% Change week'!$C$7:$AB$236,'[1]% Change week'!N$6+1,FALSE)</f>
        <v>-0.19348865915753743</v>
      </c>
      <c r="H15" s="5">
        <f>VLOOKUP("United Kingdom",'[1]% Change week'!$C$7:$AB$236,'[1]% Change week'!O$6+1,FALSE)</f>
        <v>-0.53522848846095061</v>
      </c>
      <c r="I15" s="5">
        <f>VLOOKUP("United Kingdom",'[1]% Change week'!$C$7:$AB$236,'[1]% Change week'!P$6+1,FALSE)</f>
        <v>-0.75621290801186947</v>
      </c>
      <c r="J15" s="5">
        <f>VLOOKUP("United Kingdom",'[1]% Change week'!$C$7:$AB$236,'[1]% Change week'!Q$6+1,FALSE)</f>
        <v>-0.90673006583760063</v>
      </c>
      <c r="K15" s="5">
        <f>VLOOKUP("United Kingdom",'[1]% Change week'!$C$7:$AB$236,'[1]% Change week'!R$6+1,FALSE)</f>
        <v>-0.91955193482688391</v>
      </c>
      <c r="L15" s="5">
        <f>VLOOKUP("United Kingdom",'[1]% Change week'!$C$7:$AB$236,'[1]% Change week'!S$6+1,FALSE)</f>
        <v>-0.93238121649103345</v>
      </c>
      <c r="M15" s="5">
        <f>VLOOKUP("United Kingdom",'[1]% Change week'!$C$7:$AB$236,'[1]% Change week'!T$6+1,FALSE)</f>
        <v>-0.9348725477111971</v>
      </c>
      <c r="N15" s="5">
        <f>VLOOKUP("United Kingdom",'[1]% Change week'!$C$7:$AB$236,'[1]% Change week'!U$6+1,FALSE)</f>
        <v>-0.92498124531132786</v>
      </c>
    </row>
    <row r="16" spans="1:16" x14ac:dyDescent="0.35">
      <c r="A16" s="3" t="s">
        <v>13</v>
      </c>
      <c r="B16" s="1" t="s">
        <v>13</v>
      </c>
      <c r="C16" s="5">
        <f>VLOOKUP($A16, '[1]% Change month'!$C$7:$F$236,1+C$6,FALSE)</f>
        <v>-3.4501671094352537E-2</v>
      </c>
      <c r="D16" s="5">
        <f>VLOOKUP($A16, '[1]% Change month'!$C$7:$F$236,1+D$6,FALSE)</f>
        <v>-3.1728847435043339E-2</v>
      </c>
      <c r="E16" s="5">
        <f>VLOOKUP($B16,'[1]% Change week'!$C$7:$AB$236,'[1]% Change week'!L$6+1,FALSE)</f>
        <v>-1.7339492535314971E-2</v>
      </c>
      <c r="F16" s="5">
        <f>VLOOKUP($B16,'[1]% Change week'!$C$7:$AB$236,'[1]% Change week'!M$6+1,FALSE)</f>
        <v>-2.3305225416639042E-2</v>
      </c>
      <c r="G16" s="5">
        <f>VLOOKUP($B16,'[1]% Change week'!$C$7:$AB$236,'[1]% Change week'!N$6+1,FALSE)</f>
        <v>-2.8789893617021223E-2</v>
      </c>
      <c r="H16" s="5">
        <f>VLOOKUP($B16,'[1]% Change week'!$C$7:$AB$236,'[1]% Change week'!O$6+1,FALSE)</f>
        <v>-0.15914022240303771</v>
      </c>
      <c r="I16" s="5">
        <f>VLOOKUP($B16,'[1]% Change week'!$C$7:$AB$236,'[1]% Change week'!P$6+1,FALSE)</f>
        <v>-0.63134891729024567</v>
      </c>
      <c r="J16" s="5">
        <f>VLOOKUP($B16,'[1]% Change week'!$C$7:$AB$236,'[1]% Change week'!Q$6+1,FALSE)</f>
        <v>-0.78056002574831029</v>
      </c>
      <c r="K16" s="5">
        <f>VLOOKUP($B16,'[1]% Change week'!$C$7:$AB$236,'[1]% Change week'!R$6+1,FALSE)</f>
        <v>-0.84635187317932392</v>
      </c>
      <c r="L16" s="5">
        <f>VLOOKUP($B16,'[1]% Change week'!$C$7:$AB$236,'[1]% Change week'!S$6+1,FALSE)</f>
        <v>-0.83708814418473665</v>
      </c>
      <c r="M16" s="5">
        <f>VLOOKUP($B16,'[1]% Change week'!$C$7:$AB$236,'[1]% Change week'!T$6+1,FALSE)</f>
        <v>-0.84354731965585705</v>
      </c>
      <c r="N16" s="5">
        <f>VLOOKUP($B16,'[1]% Change week'!$C$7:$AB$236,'[1]% Change week'!U$6+1,FALSE)</f>
        <v>-0.83005174383441971</v>
      </c>
    </row>
    <row r="17" spans="1:16" x14ac:dyDescent="0.35">
      <c r="A17" s="3" t="s">
        <v>14</v>
      </c>
      <c r="B17" s="1" t="s">
        <v>14</v>
      </c>
      <c r="C17" s="5">
        <f>VLOOKUP($A17, '[1]% Change month'!$C$7:$F$236,1+C$6,FALSE)</f>
        <v>-9.2158447857720316E-2</v>
      </c>
      <c r="D17" s="5">
        <f>VLOOKUP($A17, '[1]% Change month'!$C$7:$F$236,1+D$6,FALSE)</f>
        <v>-5.6140154483376281E-2</v>
      </c>
      <c r="E17" s="5">
        <f>VLOOKUP($B17,'[1]% Change week'!$C$7:$AB$236,'[1]% Change week'!L$6+1,FALSE)</f>
        <v>-4.7772065124250251E-2</v>
      </c>
      <c r="F17" s="5">
        <f>VLOOKUP($B17,'[1]% Change week'!$C$7:$AB$236,'[1]% Change week'!M$6+1,FALSE)</f>
        <v>-6.3615368465252953E-2</v>
      </c>
      <c r="G17" s="5">
        <f>VLOOKUP($B17,'[1]% Change week'!$C$7:$AB$236,'[1]% Change week'!N$6+1,FALSE)</f>
        <v>-0.14087759815242495</v>
      </c>
      <c r="H17" s="5">
        <f>VLOOKUP($B17,'[1]% Change week'!$C$7:$AB$236,'[1]% Change week'!O$6+1,FALSE)</f>
        <v>-0.65340909090909083</v>
      </c>
      <c r="I17" s="5">
        <f>VLOOKUP($B17,'[1]% Change week'!$C$7:$AB$236,'[1]% Change week'!P$6+1,FALSE)</f>
        <v>-0.77062538195151764</v>
      </c>
      <c r="J17" s="5">
        <f>VLOOKUP($B17,'[1]% Change week'!$C$7:$AB$236,'[1]% Change week'!Q$6+1,FALSE)</f>
        <v>-0.84170751633986929</v>
      </c>
      <c r="K17" s="5">
        <f>VLOOKUP($B17,'[1]% Change week'!$C$7:$AB$236,'[1]% Change week'!R$6+1,FALSE)</f>
        <v>-0.84394200049152124</v>
      </c>
      <c r="L17" s="5">
        <f>VLOOKUP($B17,'[1]% Change week'!$C$7:$AB$236,'[1]% Change week'!S$6+1,FALSE)</f>
        <v>-0.89964866051822567</v>
      </c>
      <c r="M17" s="5">
        <f>VLOOKUP($B17,'[1]% Change week'!$C$7:$AB$236,'[1]% Change week'!T$6+1,FALSE)</f>
        <v>-0.89791073124406462</v>
      </c>
      <c r="N17" s="5">
        <f>VLOOKUP($B17,'[1]% Change week'!$C$7:$AB$236,'[1]% Change week'!U$6+1,FALSE)</f>
        <v>-0.88518593781751675</v>
      </c>
    </row>
    <row r="18" spans="1:16" x14ac:dyDescent="0.35">
      <c r="A18" s="3" t="s">
        <v>30</v>
      </c>
      <c r="B18" s="1" t="s">
        <v>15</v>
      </c>
      <c r="C18" s="5">
        <f>VLOOKUP($A18, '[1]% Change month'!$C$7:$F$236,1+C$6,FALSE)</f>
        <v>-1.9342604298356547E-2</v>
      </c>
      <c r="D18" s="5">
        <f>VLOOKUP($A18, '[1]% Change month'!$C$7:$F$236,1+D$6,FALSE)</f>
        <v>-3.033414623711117E-2</v>
      </c>
      <c r="E18" s="5">
        <f>VLOOKUP("United Arab Emirates",'[1]% Change week'!$C$7:$AB$236,'[1]% Change week'!L$6+1,FALSE)</f>
        <v>-2.9240766073871383E-2</v>
      </c>
      <c r="F18" s="5">
        <f>VLOOKUP("United Arab Emirates",'[1]% Change week'!$C$7:$AB$236,'[1]% Change week'!M$6+1,FALSE)</f>
        <v>-8.3376134223591802E-2</v>
      </c>
      <c r="G18" s="5">
        <f>VLOOKUP("United Arab Emirates",'[1]% Change week'!$C$7:$AB$236,'[1]% Change week'!N$6+1,FALSE)</f>
        <v>-0.2443230322690797</v>
      </c>
      <c r="H18" s="5">
        <f>VLOOKUP("United Arab Emirates",'[1]% Change week'!$C$7:$AB$236,'[1]% Change week'!O$6+1,FALSE)</f>
        <v>-0.57588503329828256</v>
      </c>
      <c r="I18" s="5">
        <f>VLOOKUP("United Arab Emirates",'[1]% Change week'!$C$7:$AB$236,'[1]% Change week'!P$6+1,FALSE)</f>
        <v>-0.85752071944983244</v>
      </c>
      <c r="J18" s="5">
        <f>VLOOKUP("United Arab Emirates",'[1]% Change week'!$C$7:$AB$236,'[1]% Change week'!Q$6+1,FALSE)</f>
        <v>-0.84399293286219079</v>
      </c>
      <c r="K18" s="5">
        <f>VLOOKUP("United Arab Emirates",'[1]% Change week'!$C$7:$AB$236,'[1]% Change week'!R$6+1,FALSE)</f>
        <v>-0.78479027832222659</v>
      </c>
      <c r="L18" s="5">
        <f>VLOOKUP("United Arab Emirates",'[1]% Change week'!$C$7:$AB$236,'[1]% Change week'!S$6+1,FALSE)</f>
        <v>-0.79733492442322995</v>
      </c>
      <c r="M18" s="5">
        <f>VLOOKUP("United Arab Emirates",'[1]% Change week'!$C$7:$AB$236,'[1]% Change week'!T$6+1,FALSE)</f>
        <v>-0.81380837359098224</v>
      </c>
      <c r="N18" s="5">
        <f>VLOOKUP("United Arab Emirates",'[1]% Change week'!$C$7:$AB$236,'[1]% Change week'!U$6+1,FALSE)</f>
        <v>-0.78078817733990147</v>
      </c>
    </row>
    <row r="19" spans="1:16" x14ac:dyDescent="0.35">
      <c r="A19" s="3" t="s">
        <v>31</v>
      </c>
      <c r="B19" s="1" t="s">
        <v>16</v>
      </c>
      <c r="C19" s="5">
        <f>VLOOKUP($A19, '[1]% Change month'!$C$7:$F$236,1+C$6,FALSE)</f>
        <v>2.1545516004820575E-2</v>
      </c>
      <c r="D19" s="5">
        <f>VLOOKUP($A19, '[1]% Change month'!$C$7:$F$236,1+D$6,FALSE)</f>
        <v>-0.11559068950373297</v>
      </c>
      <c r="E19" s="5">
        <f>VLOOKUP("Korea Republic of",'[1]% Change week'!$C$7:$AB$236,'[1]% Change week'!L$6+1,FALSE)</f>
        <v>-0.34095782701929955</v>
      </c>
      <c r="F19" s="5">
        <f>VLOOKUP("Korea Republic of",'[1]% Change week'!$C$7:$AB$236,'[1]% Change week'!M$6+1,FALSE)</f>
        <v>-0.52054467271858584</v>
      </c>
      <c r="G19" s="5">
        <f>VLOOKUP("Korea Republic of",'[1]% Change week'!$C$7:$AB$236,'[1]% Change week'!N$6+1,FALSE)</f>
        <v>-0.56126006973668385</v>
      </c>
      <c r="H19" s="5">
        <f>VLOOKUP("Korea Republic of",'[1]% Change week'!$C$7:$AB$236,'[1]% Change week'!O$6+1,FALSE)</f>
        <v>-0.55725738901519684</v>
      </c>
      <c r="I19" s="5">
        <f>VLOOKUP("Korea Republic of",'[1]% Change week'!$C$7:$AB$236,'[1]% Change week'!P$6+1,FALSE)</f>
        <v>-0.56560009515879628</v>
      </c>
      <c r="J19" s="5">
        <f>VLOOKUP("Korea Republic of",'[1]% Change week'!$C$7:$AB$236,'[1]% Change week'!Q$6+1,FALSE)</f>
        <v>-0.59280235988200591</v>
      </c>
      <c r="K19" s="5">
        <f>VLOOKUP("Korea Republic of",'[1]% Change week'!$C$7:$AB$236,'[1]% Change week'!R$6+1,FALSE)</f>
        <v>-0.60456094980604203</v>
      </c>
      <c r="L19" s="5">
        <f>VLOOKUP("Korea Republic of",'[1]% Change week'!$C$7:$AB$236,'[1]% Change week'!S$6+1,FALSE)</f>
        <v>-0.5882971268395234</v>
      </c>
      <c r="M19" s="5">
        <f>VLOOKUP("Korea Republic of",'[1]% Change week'!$C$7:$AB$236,'[1]% Change week'!T$6+1,FALSE)</f>
        <v>-0.48479241355383373</v>
      </c>
      <c r="N19" s="5">
        <f>VLOOKUP("Korea Republic of",'[1]% Change week'!$C$7:$AB$236,'[1]% Change week'!U$6+1,FALSE)</f>
        <v>-0.49469312413474853</v>
      </c>
    </row>
    <row r="20" spans="1:16" x14ac:dyDescent="0.35">
      <c r="A20" s="3" t="s">
        <v>17</v>
      </c>
      <c r="B20" s="1" t="s">
        <v>17</v>
      </c>
      <c r="C20" s="5">
        <f>VLOOKUP($A20, '[1]% Change month'!$C$7:$F$236,1+C$6,FALSE)</f>
        <v>1.662480134741795E-2</v>
      </c>
      <c r="D20" s="5">
        <f>VLOOKUP($A20, '[1]% Change month'!$C$7:$F$236,1+D$6,FALSE)</f>
        <v>1.2491449808261557E-2</v>
      </c>
      <c r="E20" s="5">
        <f>VLOOKUP($B20,'[1]% Change week'!$C$7:$AB$236,'[1]% Change week'!L$6+1,FALSE)</f>
        <v>-2.1182109303755858E-2</v>
      </c>
      <c r="F20" s="5">
        <f>VLOOKUP($B20,'[1]% Change week'!$C$7:$AB$236,'[1]% Change week'!M$6+1,FALSE)</f>
        <v>-1.3243596216353848E-2</v>
      </c>
      <c r="G20" s="5">
        <f>VLOOKUP($B20,'[1]% Change week'!$C$7:$AB$236,'[1]% Change week'!N$6+1,FALSE)</f>
        <v>-4.839445032353562E-3</v>
      </c>
      <c r="H20" s="5">
        <f>VLOOKUP($B20,'[1]% Change week'!$C$7:$AB$236,'[1]% Change week'!O$6+1,FALSE)</f>
        <v>-4.7696211436036529E-2</v>
      </c>
      <c r="I20" s="5">
        <f>VLOOKUP($B20,'[1]% Change week'!$C$7:$AB$236,'[1]% Change week'!P$6+1,FALSE)</f>
        <v>-0.22955838992043553</v>
      </c>
      <c r="J20" s="5">
        <f>VLOOKUP($B20,'[1]% Change week'!$C$7:$AB$236,'[1]% Change week'!Q$6+1,FALSE)</f>
        <v>-0.45240755811747047</v>
      </c>
      <c r="K20" s="5">
        <f>VLOOKUP($B20,'[1]% Change week'!$C$7:$AB$236,'[1]% Change week'!R$6+1,FALSE)</f>
        <v>-0.57983032711708959</v>
      </c>
      <c r="L20" s="5">
        <f>VLOOKUP($B20,'[1]% Change week'!$C$7:$AB$236,'[1]% Change week'!S$6+1,FALSE)</f>
        <v>-0.60757721437848966</v>
      </c>
      <c r="M20" s="5">
        <f>VLOOKUP($B20,'[1]% Change week'!$C$7:$AB$236,'[1]% Change week'!T$6+1,FALSE)</f>
        <v>-0.63528626763075402</v>
      </c>
      <c r="N20" s="5">
        <f>VLOOKUP($B20,'[1]% Change week'!$C$7:$AB$236,'[1]% Change week'!U$6+1,FALSE)</f>
        <v>-0.74539672470493967</v>
      </c>
    </row>
    <row r="21" spans="1:16" x14ac:dyDescent="0.35">
      <c r="A21" s="3" t="s">
        <v>18</v>
      </c>
      <c r="B21" s="1" t="s">
        <v>18</v>
      </c>
      <c r="C21" s="5">
        <f>VLOOKUP($A21, '[1]% Change month'!$C$7:$F$236,1+C$6,FALSE)</f>
        <v>2.104409477785385E-2</v>
      </c>
      <c r="D21" s="5">
        <f>VLOOKUP($A21, '[1]% Change month'!$C$7:$F$236,1+D$6,FALSE)</f>
        <v>6.3190386182738756E-2</v>
      </c>
      <c r="E21" s="5">
        <f>VLOOKUP($B21,'[1]% Change week'!$C$7:$AB$236,'[1]% Change week'!L$6+1,FALSE)</f>
        <v>9.8885941644562436E-2</v>
      </c>
      <c r="F21" s="5">
        <f>VLOOKUP($B21,'[1]% Change week'!$C$7:$AB$236,'[1]% Change week'!M$6+1,FALSE)</f>
        <v>9.9518287243532511E-2</v>
      </c>
      <c r="G21" s="5">
        <f>VLOOKUP($B21,'[1]% Change week'!$C$7:$AB$236,'[1]% Change week'!N$6+1,FALSE)</f>
        <v>8.3060306030602993E-2</v>
      </c>
      <c r="H21" s="5">
        <f>VLOOKUP($B21,'[1]% Change week'!$C$7:$AB$236,'[1]% Change week'!O$6+1,FALSE)</f>
        <v>1.8136850783182279E-2</v>
      </c>
      <c r="I21" s="5">
        <f>VLOOKUP($B21,'[1]% Change week'!$C$7:$AB$236,'[1]% Change week'!P$6+1,FALSE)</f>
        <v>-0.68024273109712974</v>
      </c>
      <c r="J21" s="5">
        <f>VLOOKUP($B21,'[1]% Change week'!$C$7:$AB$236,'[1]% Change week'!Q$6+1,FALSE)</f>
        <v>-0.71055354371443347</v>
      </c>
      <c r="K21" s="5">
        <f>VLOOKUP($B21,'[1]% Change week'!$C$7:$AB$236,'[1]% Change week'!R$6+1,FALSE)</f>
        <v>-0.79944659656889872</v>
      </c>
      <c r="L21" s="5">
        <f>VLOOKUP($B21,'[1]% Change week'!$C$7:$AB$236,'[1]% Change week'!S$6+1,FALSE)</f>
        <v>-0.88471260578085498</v>
      </c>
      <c r="M21" s="5">
        <f>VLOOKUP($B21,'[1]% Change week'!$C$7:$AB$236,'[1]% Change week'!T$6+1,FALSE)</f>
        <v>-0.93579335793357932</v>
      </c>
      <c r="N21" s="5">
        <f>VLOOKUP($B21,'[1]% Change week'!$C$7:$AB$236,'[1]% Change week'!U$6+1,FALSE)</f>
        <v>-0.90894802251626583</v>
      </c>
    </row>
    <row r="22" spans="1:16" x14ac:dyDescent="0.35">
      <c r="A22" s="3" t="s">
        <v>19</v>
      </c>
      <c r="B22" s="1" t="s">
        <v>19</v>
      </c>
      <c r="C22" s="5">
        <f>VLOOKUP($A22, '[1]% Change month'!$C$7:$F$236,1+C$6,FALSE)</f>
        <v>4.3075050691720129E-2</v>
      </c>
      <c r="D22" s="5">
        <f>VLOOKUP($A22, '[1]% Change month'!$C$7:$F$236,1+D$6,FALSE)</f>
        <v>-0.55059393553577984</v>
      </c>
      <c r="E22" s="5">
        <f>VLOOKUP($B22,'[1]% Change week'!$C$7:$AB$236,'[1]% Change week'!L$6+1,FALSE)</f>
        <v>-0.41557744785162576</v>
      </c>
      <c r="F22" s="5">
        <f>VLOOKUP($B22,'[1]% Change week'!$C$7:$AB$236,'[1]% Change week'!M$6+1,FALSE)</f>
        <v>-0.42939723089832638</v>
      </c>
      <c r="G22" s="5">
        <f>VLOOKUP($B22,'[1]% Change week'!$C$7:$AB$236,'[1]% Change week'!N$6+1,FALSE)</f>
        <v>-0.38730016832935488</v>
      </c>
      <c r="H22" s="5">
        <f>VLOOKUP($B22,'[1]% Change week'!$C$7:$AB$236,'[1]% Change week'!O$6+1,FALSE)</f>
        <v>-0.37510100481971231</v>
      </c>
      <c r="I22" s="5">
        <f>VLOOKUP($B22,'[1]% Change week'!$C$7:$AB$236,'[1]% Change week'!P$6+1,FALSE)</f>
        <v>-0.43933092805273255</v>
      </c>
      <c r="J22" s="5">
        <f>VLOOKUP($B22,'[1]% Change week'!$C$7:$AB$236,'[1]% Change week'!Q$6+1,FALSE)</f>
        <v>-0.46190454729821084</v>
      </c>
      <c r="K22" s="5">
        <f>VLOOKUP($B22,'[1]% Change week'!$C$7:$AB$236,'[1]% Change week'!R$6+1,FALSE)</f>
        <v>-0.42612818482798331</v>
      </c>
      <c r="L22" s="5">
        <f>VLOOKUP($B22,'[1]% Change week'!$C$7:$AB$236,'[1]% Change week'!S$6+1,FALSE)</f>
        <v>-0.42369393812480649</v>
      </c>
      <c r="M22" s="5">
        <f>VLOOKUP($B22,'[1]% Change week'!$C$7:$AB$236,'[1]% Change week'!T$6+1,FALSE)</f>
        <v>-0.3917660869802615</v>
      </c>
      <c r="N22" s="5">
        <f>VLOOKUP($B22,'[1]% Change week'!$C$7:$AB$236,'[1]% Change week'!U$6+1,FALSE)</f>
        <v>-0.31982899580710877</v>
      </c>
    </row>
    <row r="23" spans="1:16" x14ac:dyDescent="0.35">
      <c r="A23" s="3" t="s">
        <v>20</v>
      </c>
      <c r="B23" s="1" t="s">
        <v>20</v>
      </c>
      <c r="C23" s="5">
        <f>VLOOKUP($A23, '[1]% Change month'!$C$7:$F$236,1+C$6,FALSE)</f>
        <v>2.3770007275372818E-2</v>
      </c>
      <c r="D23" s="5">
        <f>VLOOKUP($A23, '[1]% Change month'!$C$7:$F$236,1+D$6,FALSE)</f>
        <v>-3.5256808152854702E-2</v>
      </c>
      <c r="E23" s="5">
        <f>VLOOKUP($B23,'[1]% Change week'!$C$7:$AB$236,'[1]% Change week'!L$6+1,FALSE)</f>
        <v>-7.5707079805440447E-2</v>
      </c>
      <c r="F23" s="5">
        <f>VLOOKUP($B23,'[1]% Change week'!$C$7:$AB$236,'[1]% Change week'!M$6+1,FALSE)</f>
        <v>-0.14952766531713901</v>
      </c>
      <c r="G23" s="5">
        <f>VLOOKUP($B23,'[1]% Change week'!$C$7:$AB$236,'[1]% Change week'!N$6+1,FALSE)</f>
        <v>-0.19231801108925062</v>
      </c>
      <c r="H23" s="5">
        <f>VLOOKUP($B23,'[1]% Change week'!$C$7:$AB$236,'[1]% Change week'!O$6+1,FALSE)</f>
        <v>-0.24286156979060602</v>
      </c>
      <c r="I23" s="5">
        <f>VLOOKUP($B23,'[1]% Change week'!$C$7:$AB$236,'[1]% Change week'!P$6+1,FALSE)</f>
        <v>-0.27886586695747007</v>
      </c>
      <c r="J23" s="5">
        <f>VLOOKUP($B23,'[1]% Change week'!$C$7:$AB$236,'[1]% Change week'!Q$6+1,FALSE)</f>
        <v>-0.32023757149142107</v>
      </c>
      <c r="K23" s="5">
        <f>VLOOKUP($B23,'[1]% Change week'!$C$7:$AB$236,'[1]% Change week'!R$6+1,FALSE)</f>
        <v>-0.40066821998505298</v>
      </c>
      <c r="L23" s="5">
        <f>VLOOKUP($B23,'[1]% Change week'!$C$7:$AB$236,'[1]% Change week'!S$6+1,FALSE)</f>
        <v>-0.44376090750436303</v>
      </c>
      <c r="M23" s="5">
        <f>VLOOKUP($B23,'[1]% Change week'!$C$7:$AB$236,'[1]% Change week'!T$6+1,FALSE)</f>
        <v>-0.44632453735435229</v>
      </c>
      <c r="N23" s="5">
        <f>VLOOKUP($B23,'[1]% Change week'!$C$7:$AB$236,'[1]% Change week'!U$6+1,FALSE)</f>
        <v>-0.47027793785185512</v>
      </c>
    </row>
    <row r="24" spans="1:16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L24" s="1"/>
      <c r="M24" s="1"/>
      <c r="N24" s="1"/>
      <c r="O24" s="1"/>
      <c r="P24" s="1"/>
    </row>
    <row r="25" spans="1:16" ht="18.5" x14ac:dyDescent="0.45">
      <c r="A25" s="2" t="s">
        <v>32</v>
      </c>
      <c r="B25" s="1"/>
      <c r="C25" s="1"/>
      <c r="D25" s="1"/>
      <c r="E25" s="1"/>
      <c r="F25" s="1"/>
      <c r="G25" s="1"/>
      <c r="H25" s="1"/>
      <c r="I25" s="1"/>
      <c r="J25" s="1"/>
      <c r="L25" s="1"/>
      <c r="M25" s="1"/>
      <c r="N25" s="1"/>
      <c r="O25" s="1"/>
      <c r="P25" s="1"/>
    </row>
    <row r="26" spans="1:16" x14ac:dyDescent="0.35">
      <c r="A26" s="1"/>
      <c r="B26" s="1"/>
      <c r="C26" s="1">
        <v>1</v>
      </c>
      <c r="D26" s="1">
        <v>5</v>
      </c>
      <c r="E26" s="1"/>
      <c r="F26" s="1"/>
      <c r="G26" s="1"/>
      <c r="H26" s="1"/>
      <c r="I26" s="1"/>
      <c r="J26" s="1"/>
      <c r="L26" s="1"/>
      <c r="M26" s="1"/>
      <c r="N26" s="1"/>
      <c r="O26" s="1"/>
      <c r="P26" s="1"/>
    </row>
    <row r="27" spans="1:16" x14ac:dyDescent="0.35">
      <c r="B27" s="1" t="s">
        <v>23</v>
      </c>
      <c r="C27" s="4" t="s">
        <v>24</v>
      </c>
      <c r="D27" s="4" t="s">
        <v>25</v>
      </c>
      <c r="E27" s="4">
        <v>43892</v>
      </c>
      <c r="F27" s="4">
        <v>43899</v>
      </c>
      <c r="G27" s="4">
        <v>43906</v>
      </c>
      <c r="H27" s="4">
        <v>43913</v>
      </c>
      <c r="I27" s="4">
        <v>43920</v>
      </c>
      <c r="J27" s="4">
        <v>43927</v>
      </c>
      <c r="K27" s="4">
        <v>43934</v>
      </c>
      <c r="L27" s="4">
        <v>43941</v>
      </c>
      <c r="M27" s="4">
        <v>43948</v>
      </c>
      <c r="N27" s="4">
        <v>43955</v>
      </c>
    </row>
    <row r="28" spans="1:16" x14ac:dyDescent="0.35">
      <c r="A28" s="3" t="s">
        <v>27</v>
      </c>
      <c r="B28" s="1" t="s">
        <v>5</v>
      </c>
      <c r="C28" s="6">
        <f>VLOOKUP($A28, '[1]2 2020 Data'!$C$7:$AB$236,C$26+1,FALSE)+VLOOKUP($A28, '[1]2 2020 Data'!$C$7:$AB$236,C$26+2,FALSE)+VLOOKUP($A28, '[1]2 2020 Data'!$C$7:$AB$236,C$26+3,FALSE)+VLOOKUP($A28, '[1]2 2020 Data'!$C$7:$AB$236,C$26+4,FALSE)</f>
        <v>3233935</v>
      </c>
      <c r="D28" s="6">
        <f>VLOOKUP($A28, '[1]2 2020 Data'!$C$7:$AB$236,D$26+1,FALSE)+VLOOKUP($A28, '[1]2 2020 Data'!$C$7:$AB$236,D$26+2,FALSE)+VLOOKUP($A28, '[1]2 2020 Data'!$C$7:$AB$236,D$26+3,FALSE)+VLOOKUP($A28, '[1]2 2020 Data'!$C$7:$AB$236,D$26+4,FALSE)</f>
        <v>2970596</v>
      </c>
      <c r="E28" s="6">
        <f>VLOOKUP($A28, '[1]2 2020 Data'!$C$7:$AB$236,'[1]2 2020 Data'!L$6+1,FALSE)</f>
        <v>756880</v>
      </c>
      <c r="F28" s="6">
        <f>VLOOKUP($A28, '[1]2 2020 Data'!$C$7:$AB$236,'[1]2 2020 Data'!M$6+1,FALSE)</f>
        <v>743169</v>
      </c>
      <c r="G28" s="6">
        <f>VLOOKUP($A28, '[1]2 2020 Data'!$C$7:$AB$236,'[1]2 2020 Data'!N$6+1,FALSE)</f>
        <v>720239</v>
      </c>
      <c r="H28" s="6">
        <f>VLOOKUP($A28, '[1]2 2020 Data'!$C$7:$AB$236,'[1]2 2020 Data'!O$6+1,FALSE)</f>
        <v>584116</v>
      </c>
      <c r="I28" s="6">
        <f>VLOOKUP($A28, '[1]2 2020 Data'!$C$7:$AB$236,'[1]2 2020 Data'!P$6+1,FALSE)</f>
        <v>437769</v>
      </c>
      <c r="J28" s="6">
        <f>VLOOKUP($A28, '[1]2 2020 Data'!$C$7:$AB$236,'[1]2 2020 Data'!Q$6+1,FALSE)</f>
        <v>343431</v>
      </c>
      <c r="K28" s="6">
        <f>VLOOKUP($A28, '[1]2 2020 Data'!$C$7:$AB$236,'[1]2 2020 Data'!R$6+1,FALSE)</f>
        <v>292418</v>
      </c>
      <c r="L28" s="6">
        <f>VLOOKUP($A28, '[1]2 2020 Data'!$C$7:$AB$236,'[1]2 2020 Data'!S$6+1,FALSE)</f>
        <v>276965</v>
      </c>
      <c r="M28" s="6">
        <f>VLOOKUP($A28, '[1]2 2020 Data'!$C$7:$AB$236,'[1]2 2020 Data'!T$6+1,FALSE)</f>
        <v>279754</v>
      </c>
      <c r="N28" s="6">
        <f>VLOOKUP($A28, '[1]2 2020 Data'!$C$7:$AB$236,'[1]2 2020 Data'!U$6+1,FALSE)</f>
        <v>253691</v>
      </c>
    </row>
    <row r="29" spans="1:16" x14ac:dyDescent="0.35">
      <c r="A29" s="3" t="s">
        <v>6</v>
      </c>
      <c r="B29" s="1" t="s">
        <v>6</v>
      </c>
      <c r="C29" s="6">
        <f>VLOOKUP($A29, '[1]2 2020 Data'!$C$7:$AB$236,C$26+1,FALSE)+VLOOKUP($A29, '[1]2 2020 Data'!$C$7:$AB$236,C$26+2,FALSE)+VLOOKUP($A29, '[1]2 2020 Data'!$C$7:$AB$236,C$26+3,FALSE)+VLOOKUP($A29, '[1]2 2020 Data'!$C$7:$AB$236,C$26+4,FALSE)</f>
        <v>56381</v>
      </c>
      <c r="D29" s="6">
        <f>VLOOKUP($A29, '[1]2 2020 Data'!$C$7:$AB$236,D$26+1,FALSE)+VLOOKUP($A29, '[1]2 2020 Data'!$C$7:$AB$236,D$26+2,FALSE)+VLOOKUP($A29, '[1]2 2020 Data'!$C$7:$AB$236,D$26+3,FALSE)+VLOOKUP($A29, '[1]2 2020 Data'!$C$7:$AB$236,D$26+4,FALSE)</f>
        <v>60145</v>
      </c>
      <c r="E29" s="6">
        <f>VLOOKUP($A29, '[1]2 2020 Data'!$C$7:$AB$236,'[1]2 2020 Data'!L$6+1,FALSE)</f>
        <v>15673</v>
      </c>
      <c r="F29" s="6">
        <f>VLOOKUP($A29, '[1]2 2020 Data'!$C$7:$AB$236,'[1]2 2020 Data'!M$6+1,FALSE)</f>
        <v>15386</v>
      </c>
      <c r="G29" s="6">
        <f>VLOOKUP($A29, '[1]2 2020 Data'!$C$7:$AB$236,'[1]2 2020 Data'!N$6+1,FALSE)</f>
        <v>13647</v>
      </c>
      <c r="H29" s="6">
        <f>VLOOKUP($A29, '[1]2 2020 Data'!$C$7:$AB$236,'[1]2 2020 Data'!O$6+1,FALSE)</f>
        <v>4111</v>
      </c>
      <c r="I29" s="6">
        <f>VLOOKUP($A29, '[1]2 2020 Data'!$C$7:$AB$236,'[1]2 2020 Data'!P$6+1,FALSE)</f>
        <v>2124</v>
      </c>
      <c r="J29" s="6">
        <f>VLOOKUP($A29, '[1]2 2020 Data'!$C$7:$AB$236,'[1]2 2020 Data'!Q$6+1,FALSE)</f>
        <v>1408</v>
      </c>
      <c r="K29" s="6">
        <f>VLOOKUP($A29, '[1]2 2020 Data'!$C$7:$AB$236,'[1]2 2020 Data'!R$6+1,FALSE)</f>
        <v>1100</v>
      </c>
      <c r="L29" s="6">
        <f>VLOOKUP($A29, '[1]2 2020 Data'!$C$7:$AB$236,'[1]2 2020 Data'!S$6+1,FALSE)</f>
        <v>959</v>
      </c>
      <c r="M29" s="6">
        <f>VLOOKUP($A29, '[1]2 2020 Data'!$C$7:$AB$236,'[1]2 2020 Data'!T$6+1,FALSE)</f>
        <v>1132</v>
      </c>
      <c r="N29" s="6">
        <f>VLOOKUP($A29, '[1]2 2020 Data'!$C$7:$AB$236,'[1]2 2020 Data'!U$6+1,FALSE)</f>
        <v>1506</v>
      </c>
    </row>
    <row r="30" spans="1:16" x14ac:dyDescent="0.35">
      <c r="A30" s="3" t="s">
        <v>28</v>
      </c>
      <c r="B30" s="1" t="s">
        <v>7</v>
      </c>
      <c r="C30" s="6">
        <f>VLOOKUP($A30, '[1]2 2020 Data'!$C$7:$AB$236,C$26+1,FALSE)+VLOOKUP($A30, '[1]2 2020 Data'!$C$7:$AB$236,C$26+2,FALSE)+VLOOKUP($A30, '[1]2 2020 Data'!$C$7:$AB$236,C$26+3,FALSE)+VLOOKUP($A30, '[1]2 2020 Data'!$C$7:$AB$236,C$26+4,FALSE)</f>
        <v>13584</v>
      </c>
      <c r="D30" s="6">
        <f>VLOOKUP($A30, '[1]2 2020 Data'!$C$7:$AB$236,D$26+1,FALSE)+VLOOKUP($A30, '[1]2 2020 Data'!$C$7:$AB$236,D$26+2,FALSE)+VLOOKUP($A30, '[1]2 2020 Data'!$C$7:$AB$236,D$26+3,FALSE)+VLOOKUP($A30, '[1]2 2020 Data'!$C$7:$AB$236,D$26+4,FALSE)</f>
        <v>8104</v>
      </c>
      <c r="E30" s="6">
        <f>VLOOKUP($A30, '[1]2 2020 Data'!$C$7:$AB$236,'[1]2 2020 Data'!L$6+1,FALSE)</f>
        <v>1096</v>
      </c>
      <c r="F30" s="6">
        <f>VLOOKUP($A30, '[1]2 2020 Data'!$C$7:$AB$236,'[1]2 2020 Data'!M$6+1,FALSE)</f>
        <v>836</v>
      </c>
      <c r="G30" s="6">
        <f>VLOOKUP($A30, '[1]2 2020 Data'!$C$7:$AB$236,'[1]2 2020 Data'!N$6+1,FALSE)</f>
        <v>719</v>
      </c>
      <c r="H30" s="6">
        <f>VLOOKUP($A30, '[1]2 2020 Data'!$C$7:$AB$236,'[1]2 2020 Data'!O$6+1,FALSE)</f>
        <v>687</v>
      </c>
      <c r="I30" s="6">
        <f>VLOOKUP($A30, '[1]2 2020 Data'!$C$7:$AB$236,'[1]2 2020 Data'!P$6+1,FALSE)</f>
        <v>440</v>
      </c>
      <c r="J30" s="6">
        <f>VLOOKUP($A30, '[1]2 2020 Data'!$C$7:$AB$236,'[1]2 2020 Data'!Q$6+1,FALSE)</f>
        <v>289</v>
      </c>
      <c r="K30" s="6">
        <f>VLOOKUP($A30, '[1]2 2020 Data'!$C$7:$AB$236,'[1]2 2020 Data'!R$6+1,FALSE)</f>
        <v>220</v>
      </c>
      <c r="L30" s="6">
        <f>VLOOKUP($A30, '[1]2 2020 Data'!$C$7:$AB$236,'[1]2 2020 Data'!S$6+1,FALSE)</f>
        <v>209</v>
      </c>
      <c r="M30" s="6">
        <f>VLOOKUP($A30, '[1]2 2020 Data'!$C$7:$AB$236,'[1]2 2020 Data'!T$6+1,FALSE)</f>
        <v>259</v>
      </c>
      <c r="N30" s="6">
        <f>VLOOKUP($A30, '[1]2 2020 Data'!$C$7:$AB$236,'[1]2 2020 Data'!U$6+1,FALSE)</f>
        <v>240</v>
      </c>
    </row>
    <row r="31" spans="1:16" x14ac:dyDescent="0.35">
      <c r="A31" s="3" t="s">
        <v>8</v>
      </c>
      <c r="B31" s="1" t="s">
        <v>8</v>
      </c>
      <c r="C31" s="6">
        <f>VLOOKUP($A31, '[1]2 2020 Data'!$C$7:$AB$236,C$26+1,FALSE)+VLOOKUP($A31, '[1]2 2020 Data'!$C$7:$AB$236,C$26+2,FALSE)+VLOOKUP($A31, '[1]2 2020 Data'!$C$7:$AB$236,C$26+3,FALSE)+VLOOKUP($A31, '[1]2 2020 Data'!$C$7:$AB$236,C$26+4,FALSE)</f>
        <v>61437</v>
      </c>
      <c r="D31" s="6">
        <f>VLOOKUP($A31, '[1]2 2020 Data'!$C$7:$AB$236,D$26+1,FALSE)+VLOOKUP($A31, '[1]2 2020 Data'!$C$7:$AB$236,D$26+2,FALSE)+VLOOKUP($A31, '[1]2 2020 Data'!$C$7:$AB$236,D$26+3,FALSE)+VLOOKUP($A31, '[1]2 2020 Data'!$C$7:$AB$236,D$26+4,FALSE)</f>
        <v>65057</v>
      </c>
      <c r="E31" s="6">
        <f>VLOOKUP($A31, '[1]2 2020 Data'!$C$7:$AB$236,'[1]2 2020 Data'!L$6+1,FALSE)</f>
        <v>16741</v>
      </c>
      <c r="F31" s="6">
        <f>VLOOKUP($A31, '[1]2 2020 Data'!$C$7:$AB$236,'[1]2 2020 Data'!M$6+1,FALSE)</f>
        <v>14907</v>
      </c>
      <c r="G31" s="6">
        <f>VLOOKUP($A31, '[1]2 2020 Data'!$C$7:$AB$236,'[1]2 2020 Data'!N$6+1,FALSE)</f>
        <v>12270</v>
      </c>
      <c r="H31" s="6">
        <f>VLOOKUP($A31, '[1]2 2020 Data'!$C$7:$AB$236,'[1]2 2020 Data'!O$6+1,FALSE)</f>
        <v>5004</v>
      </c>
      <c r="I31" s="6">
        <f>VLOOKUP($A31, '[1]2 2020 Data'!$C$7:$AB$236,'[1]2 2020 Data'!P$6+1,FALSE)</f>
        <v>2171</v>
      </c>
      <c r="J31" s="6">
        <f>VLOOKUP($A31, '[1]2 2020 Data'!$C$7:$AB$236,'[1]2 2020 Data'!Q$6+1,FALSE)</f>
        <v>1424</v>
      </c>
      <c r="K31" s="6">
        <f>VLOOKUP($A31, '[1]2 2020 Data'!$C$7:$AB$236,'[1]2 2020 Data'!R$6+1,FALSE)</f>
        <v>1384</v>
      </c>
      <c r="L31" s="6">
        <f>VLOOKUP($A31, '[1]2 2020 Data'!$C$7:$AB$236,'[1]2 2020 Data'!S$6+1,FALSE)</f>
        <v>1187</v>
      </c>
      <c r="M31" s="6">
        <f>VLOOKUP($A31, '[1]2 2020 Data'!$C$7:$AB$236,'[1]2 2020 Data'!T$6+1,FALSE)</f>
        <v>1381</v>
      </c>
      <c r="N31" s="6">
        <f>VLOOKUP($A31, '[1]2 2020 Data'!$C$7:$AB$236,'[1]2 2020 Data'!U$6+1,FALSE)</f>
        <v>1886</v>
      </c>
    </row>
    <row r="32" spans="1:16" x14ac:dyDescent="0.35">
      <c r="A32" s="3" t="s">
        <v>9</v>
      </c>
      <c r="B32" s="1" t="s">
        <v>9</v>
      </c>
      <c r="C32" s="6">
        <f>VLOOKUP($A32, '[1]2 2020 Data'!$C$7:$AB$236,C$26+1,FALSE)+VLOOKUP($A32, '[1]2 2020 Data'!$C$7:$AB$236,C$26+2,FALSE)+VLOOKUP($A32, '[1]2 2020 Data'!$C$7:$AB$236,C$26+3,FALSE)+VLOOKUP($A32, '[1]2 2020 Data'!$C$7:$AB$236,C$26+4,FALSE)</f>
        <v>15652</v>
      </c>
      <c r="D32" s="6">
        <f>VLOOKUP($A32, '[1]2 2020 Data'!$C$7:$AB$236,D$26+1,FALSE)+VLOOKUP($A32, '[1]2 2020 Data'!$C$7:$AB$236,D$26+2,FALSE)+VLOOKUP($A32, '[1]2 2020 Data'!$C$7:$AB$236,D$26+3,FALSE)+VLOOKUP($A32, '[1]2 2020 Data'!$C$7:$AB$236,D$26+4,FALSE)</f>
        <v>13310</v>
      </c>
      <c r="E32" s="6">
        <f>VLOOKUP($A32, '[1]2 2020 Data'!$C$7:$AB$236,'[1]2 2020 Data'!L$6+1,FALSE)</f>
        <v>2894</v>
      </c>
      <c r="F32" s="6">
        <f>VLOOKUP($A32, '[1]2 2020 Data'!$C$7:$AB$236,'[1]2 2020 Data'!M$6+1,FALSE)</f>
        <v>2510</v>
      </c>
      <c r="G32" s="6">
        <f>VLOOKUP($A32, '[1]2 2020 Data'!$C$7:$AB$236,'[1]2 2020 Data'!N$6+1,FALSE)</f>
        <v>2399</v>
      </c>
      <c r="H32" s="6">
        <f>VLOOKUP($A32, '[1]2 2020 Data'!$C$7:$AB$236,'[1]2 2020 Data'!O$6+1,FALSE)</f>
        <v>855</v>
      </c>
      <c r="I32" s="6">
        <f>VLOOKUP($A32, '[1]2 2020 Data'!$C$7:$AB$236,'[1]2 2020 Data'!P$6+1,FALSE)</f>
        <v>343</v>
      </c>
      <c r="J32" s="6">
        <f>VLOOKUP($A32, '[1]2 2020 Data'!$C$7:$AB$236,'[1]2 2020 Data'!Q$6+1,FALSE)</f>
        <v>377</v>
      </c>
      <c r="K32" s="6">
        <f>VLOOKUP($A32, '[1]2 2020 Data'!$C$7:$AB$236,'[1]2 2020 Data'!R$6+1,FALSE)</f>
        <v>281</v>
      </c>
      <c r="L32" s="6">
        <f>VLOOKUP($A32, '[1]2 2020 Data'!$C$7:$AB$236,'[1]2 2020 Data'!S$6+1,FALSE)</f>
        <v>109</v>
      </c>
      <c r="M32" s="6">
        <f>VLOOKUP($A32, '[1]2 2020 Data'!$C$7:$AB$236,'[1]2 2020 Data'!T$6+1,FALSE)</f>
        <v>156</v>
      </c>
      <c r="N32" s="6">
        <f>VLOOKUP($A32, '[1]2 2020 Data'!$C$7:$AB$236,'[1]2 2020 Data'!U$6+1,FALSE)</f>
        <v>110</v>
      </c>
    </row>
    <row r="33" spans="1:16" x14ac:dyDescent="0.35">
      <c r="A33" s="3" t="s">
        <v>10</v>
      </c>
      <c r="B33" s="1" t="s">
        <v>10</v>
      </c>
      <c r="C33" s="6">
        <f>VLOOKUP($A33, '[1]2 2020 Data'!$C$7:$AB$236,C$26+1,FALSE)+VLOOKUP($A33, '[1]2 2020 Data'!$C$7:$AB$236,C$26+2,FALSE)+VLOOKUP($A33, '[1]2 2020 Data'!$C$7:$AB$236,C$26+3,FALSE)+VLOOKUP($A33, '[1]2 2020 Data'!$C$7:$AB$236,C$26+4,FALSE)</f>
        <v>43028</v>
      </c>
      <c r="D33" s="6">
        <f>VLOOKUP($A33, '[1]2 2020 Data'!$C$7:$AB$236,D$26+1,FALSE)+VLOOKUP($A33, '[1]2 2020 Data'!$C$7:$AB$236,D$26+2,FALSE)+VLOOKUP($A33, '[1]2 2020 Data'!$C$7:$AB$236,D$26+3,FALSE)+VLOOKUP($A33, '[1]2 2020 Data'!$C$7:$AB$236,D$26+4,FALSE)</f>
        <v>43994</v>
      </c>
      <c r="E33" s="6">
        <f>VLOOKUP($A33, '[1]2 2020 Data'!$C$7:$AB$236,'[1]2 2020 Data'!L$6+1,FALSE)</f>
        <v>10549</v>
      </c>
      <c r="F33" s="6">
        <f>VLOOKUP($A33, '[1]2 2020 Data'!$C$7:$AB$236,'[1]2 2020 Data'!M$6+1,FALSE)</f>
        <v>9067</v>
      </c>
      <c r="G33" s="6">
        <f>VLOOKUP($A33, '[1]2 2020 Data'!$C$7:$AB$236,'[1]2 2020 Data'!N$6+1,FALSE)</f>
        <v>3013</v>
      </c>
      <c r="H33" s="6">
        <f>VLOOKUP($A33, '[1]2 2020 Data'!$C$7:$AB$236,'[1]2 2020 Data'!O$6+1,FALSE)</f>
        <v>1382</v>
      </c>
      <c r="I33" s="6">
        <f>VLOOKUP($A33, '[1]2 2020 Data'!$C$7:$AB$236,'[1]2 2020 Data'!P$6+1,FALSE)</f>
        <v>1459</v>
      </c>
      <c r="J33" s="6">
        <f>VLOOKUP($A33, '[1]2 2020 Data'!$C$7:$AB$236,'[1]2 2020 Data'!Q$6+1,FALSE)</f>
        <v>1510</v>
      </c>
      <c r="K33" s="6">
        <f>VLOOKUP($A33, '[1]2 2020 Data'!$C$7:$AB$236,'[1]2 2020 Data'!R$6+1,FALSE)</f>
        <v>1079</v>
      </c>
      <c r="L33" s="6">
        <f>VLOOKUP($A33, '[1]2 2020 Data'!$C$7:$AB$236,'[1]2 2020 Data'!S$6+1,FALSE)</f>
        <v>2618</v>
      </c>
      <c r="M33" s="6">
        <f>VLOOKUP($A33, '[1]2 2020 Data'!$C$7:$AB$236,'[1]2 2020 Data'!T$6+1,FALSE)</f>
        <v>2783</v>
      </c>
      <c r="N33" s="6">
        <f>VLOOKUP($A33, '[1]2 2020 Data'!$C$7:$AB$236,'[1]2 2020 Data'!U$6+1,FALSE)</f>
        <v>3112</v>
      </c>
    </row>
    <row r="34" spans="1:16" x14ac:dyDescent="0.35">
      <c r="A34" s="3" t="s">
        <v>11</v>
      </c>
      <c r="B34" s="1" t="s">
        <v>11</v>
      </c>
      <c r="C34" s="6">
        <f>VLOOKUP($A34, '[1]2 2020 Data'!$C$7:$AB$236,C$26+1,FALSE)+VLOOKUP($A34, '[1]2 2020 Data'!$C$7:$AB$236,C$26+2,FALSE)+VLOOKUP($A34, '[1]2 2020 Data'!$C$7:$AB$236,C$26+3,FALSE)+VLOOKUP($A34, '[1]2 2020 Data'!$C$7:$AB$236,C$26+4,FALSE)</f>
        <v>48046</v>
      </c>
      <c r="D34" s="6">
        <f>VLOOKUP($A34, '[1]2 2020 Data'!$C$7:$AB$236,D$26+1,FALSE)+VLOOKUP($A34, '[1]2 2020 Data'!$C$7:$AB$236,D$26+2,FALSE)+VLOOKUP($A34, '[1]2 2020 Data'!$C$7:$AB$236,D$26+3,FALSE)+VLOOKUP($A34, '[1]2 2020 Data'!$C$7:$AB$236,D$26+4,FALSE)</f>
        <v>50073</v>
      </c>
      <c r="E34" s="6">
        <f>VLOOKUP($A34, '[1]2 2020 Data'!$C$7:$AB$236,'[1]2 2020 Data'!L$6+1,FALSE)</f>
        <v>12555</v>
      </c>
      <c r="F34" s="6">
        <f>VLOOKUP($A34, '[1]2 2020 Data'!$C$7:$AB$236,'[1]2 2020 Data'!M$6+1,FALSE)</f>
        <v>12577</v>
      </c>
      <c r="G34" s="6">
        <f>VLOOKUP($A34, '[1]2 2020 Data'!$C$7:$AB$236,'[1]2 2020 Data'!N$6+1,FALSE)</f>
        <v>11113</v>
      </c>
      <c r="H34" s="6">
        <f>VLOOKUP($A34, '[1]2 2020 Data'!$C$7:$AB$236,'[1]2 2020 Data'!O$6+1,FALSE)</f>
        <v>7700</v>
      </c>
      <c r="I34" s="6">
        <f>VLOOKUP($A34, '[1]2 2020 Data'!$C$7:$AB$236,'[1]2 2020 Data'!P$6+1,FALSE)</f>
        <v>2747</v>
      </c>
      <c r="J34" s="6">
        <f>VLOOKUP($A34, '[1]2 2020 Data'!$C$7:$AB$236,'[1]2 2020 Data'!Q$6+1,FALSE)</f>
        <v>1971</v>
      </c>
      <c r="K34" s="6">
        <f>VLOOKUP($A34, '[1]2 2020 Data'!$C$7:$AB$236,'[1]2 2020 Data'!R$6+1,FALSE)</f>
        <v>1206</v>
      </c>
      <c r="L34" s="6">
        <f>VLOOKUP($A34, '[1]2 2020 Data'!$C$7:$AB$236,'[1]2 2020 Data'!S$6+1,FALSE)</f>
        <v>1266</v>
      </c>
      <c r="M34" s="6">
        <f>VLOOKUP($A34, '[1]2 2020 Data'!$C$7:$AB$236,'[1]2 2020 Data'!T$6+1,FALSE)</f>
        <v>1245</v>
      </c>
      <c r="N34" s="6">
        <f>VLOOKUP($A34, '[1]2 2020 Data'!$C$7:$AB$236,'[1]2 2020 Data'!U$6+1,FALSE)</f>
        <v>1204</v>
      </c>
    </row>
    <row r="35" spans="1:16" x14ac:dyDescent="0.35">
      <c r="A35" s="3" t="s">
        <v>29</v>
      </c>
      <c r="B35" s="1" t="s">
        <v>12</v>
      </c>
      <c r="C35" s="6">
        <f>VLOOKUP($A35, '[1]2 2020 Data'!$C$7:$AB$236,C$26+1,FALSE)+VLOOKUP($A35, '[1]2 2020 Data'!$C$7:$AB$236,C$26+2,FALSE)+VLOOKUP($A35, '[1]2 2020 Data'!$C$7:$AB$236,C$26+3,FALSE)+VLOOKUP($A35, '[1]2 2020 Data'!$C$7:$AB$236,C$26+4,FALSE)</f>
        <v>68968</v>
      </c>
      <c r="D35" s="6">
        <f>VLOOKUP($A35, '[1]2 2020 Data'!$C$7:$AB$236,D$26+1,FALSE)+VLOOKUP($A35, '[1]2 2020 Data'!$C$7:$AB$236,D$26+2,FALSE)+VLOOKUP($A35, '[1]2 2020 Data'!$C$7:$AB$236,D$26+3,FALSE)+VLOOKUP($A35, '[1]2 2020 Data'!$C$7:$AB$236,D$26+4,FALSE)</f>
        <v>74459</v>
      </c>
      <c r="E35" s="6">
        <f>VLOOKUP($A35, '[1]2 2020 Data'!$C$7:$AB$236,'[1]2 2020 Data'!L$6+1,FALSE)</f>
        <v>18988</v>
      </c>
      <c r="F35" s="6">
        <f>VLOOKUP($A35, '[1]2 2020 Data'!$C$7:$AB$236,'[1]2 2020 Data'!M$6+1,FALSE)</f>
        <v>16561</v>
      </c>
      <c r="G35" s="6">
        <f>VLOOKUP($A35, '[1]2 2020 Data'!$C$7:$AB$236,'[1]2 2020 Data'!N$6+1,FALSE)</f>
        <v>15681</v>
      </c>
      <c r="H35" s="6">
        <f>VLOOKUP($A35, '[1]2 2020 Data'!$C$7:$AB$236,'[1]2 2020 Data'!O$6+1,FALSE)</f>
        <v>9123</v>
      </c>
      <c r="I35" s="6">
        <f>VLOOKUP($A35, '[1]2 2020 Data'!$C$7:$AB$236,'[1]2 2020 Data'!P$6+1,FALSE)</f>
        <v>5258</v>
      </c>
      <c r="J35" s="6">
        <f>VLOOKUP($A35, '[1]2 2020 Data'!$C$7:$AB$236,'[1]2 2020 Data'!Q$6+1,FALSE)</f>
        <v>2040</v>
      </c>
      <c r="K35" s="6">
        <f>VLOOKUP($A35, '[1]2 2020 Data'!$C$7:$AB$236,'[1]2 2020 Data'!R$6+1,FALSE)</f>
        <v>1738</v>
      </c>
      <c r="L35" s="6">
        <f>VLOOKUP($A35, '[1]2 2020 Data'!$C$7:$AB$236,'[1]2 2020 Data'!S$6+1,FALSE)</f>
        <v>1463</v>
      </c>
      <c r="M35" s="6">
        <f>VLOOKUP($A35, '[1]2 2020 Data'!$C$7:$AB$236,'[1]2 2020 Data'!T$6+1,FALSE)</f>
        <v>1464</v>
      </c>
      <c r="N35" s="6">
        <f>VLOOKUP($A35, '[1]2 2020 Data'!$C$7:$AB$236,'[1]2 2020 Data'!U$6+1,FALSE)</f>
        <v>1700</v>
      </c>
    </row>
    <row r="36" spans="1:16" x14ac:dyDescent="0.35">
      <c r="A36" s="3" t="s">
        <v>13</v>
      </c>
      <c r="B36" s="1" t="s">
        <v>13</v>
      </c>
      <c r="C36" s="6">
        <f>VLOOKUP($A36, '[1]2 2020 Data'!$C$7:$AB$236,C$26+1,FALSE)+VLOOKUP($A36, '[1]2 2020 Data'!$C$7:$AB$236,C$26+2,FALSE)+VLOOKUP($A36, '[1]2 2020 Data'!$C$7:$AB$236,C$26+3,FALSE)+VLOOKUP($A36, '[1]2 2020 Data'!$C$7:$AB$236,C$26+4,FALSE)</f>
        <v>56332</v>
      </c>
      <c r="D36" s="6">
        <f>VLOOKUP($A36, '[1]2 2020 Data'!$C$7:$AB$236,D$26+1,FALSE)+VLOOKUP($A36, '[1]2 2020 Data'!$C$7:$AB$236,D$26+2,FALSE)+VLOOKUP($A36, '[1]2 2020 Data'!$C$7:$AB$236,D$26+3,FALSE)+VLOOKUP($A36, '[1]2 2020 Data'!$C$7:$AB$236,D$26+4,FALSE)</f>
        <v>58135</v>
      </c>
      <c r="E36" s="6">
        <f>VLOOKUP($A36, '[1]2 2020 Data'!$C$7:$AB$236,'[1]2 2020 Data'!L$6+1,FALSE)</f>
        <v>14678</v>
      </c>
      <c r="F36" s="6">
        <f>VLOOKUP($A36, '[1]2 2020 Data'!$C$7:$AB$236,'[1]2 2020 Data'!M$6+1,FALSE)</f>
        <v>14710</v>
      </c>
      <c r="G36" s="6">
        <f>VLOOKUP($A36, '[1]2 2020 Data'!$C$7:$AB$236,'[1]2 2020 Data'!N$6+1,FALSE)</f>
        <v>14607</v>
      </c>
      <c r="H36" s="6">
        <f>VLOOKUP($A36, '[1]2 2020 Data'!$C$7:$AB$236,'[1]2 2020 Data'!O$6+1,FALSE)</f>
        <v>12401</v>
      </c>
      <c r="I36" s="6">
        <f>VLOOKUP($A36, '[1]2 2020 Data'!$C$7:$AB$236,'[1]2 2020 Data'!P$6+1,FALSE)</f>
        <v>5567</v>
      </c>
      <c r="J36" s="6">
        <f>VLOOKUP($A36, '[1]2 2020 Data'!$C$7:$AB$236,'[1]2 2020 Data'!Q$6+1,FALSE)</f>
        <v>3409</v>
      </c>
      <c r="K36" s="6">
        <f>VLOOKUP($A36, '[1]2 2020 Data'!$C$7:$AB$236,'[1]2 2020 Data'!R$6+1,FALSE)</f>
        <v>2268</v>
      </c>
      <c r="L36" s="6">
        <f>VLOOKUP($A36, '[1]2 2020 Data'!$C$7:$AB$236,'[1]2 2020 Data'!S$6+1,FALSE)</f>
        <v>2314</v>
      </c>
      <c r="M36" s="6">
        <f>VLOOKUP($A36, '[1]2 2020 Data'!$C$7:$AB$236,'[1]2 2020 Data'!T$6+1,FALSE)</f>
        <v>2364</v>
      </c>
      <c r="N36" s="6">
        <f>VLOOKUP($A36, '[1]2 2020 Data'!$C$7:$AB$236,'[1]2 2020 Data'!U$6+1,FALSE)</f>
        <v>2529</v>
      </c>
    </row>
    <row r="37" spans="1:16" x14ac:dyDescent="0.35">
      <c r="A37" s="3" t="s">
        <v>14</v>
      </c>
      <c r="B37" s="1" t="s">
        <v>14</v>
      </c>
      <c r="C37" s="6">
        <f>VLOOKUP($A37, '[1]2 2020 Data'!$C$7:$AB$236,C$26+1,FALSE)+VLOOKUP($A37, '[1]2 2020 Data'!$C$7:$AB$236,C$26+2,FALSE)+VLOOKUP($A37, '[1]2 2020 Data'!$C$7:$AB$236,C$26+3,FALSE)+VLOOKUP($A37, '[1]2 2020 Data'!$C$7:$AB$236,C$26+4,FALSE)</f>
        <v>15722</v>
      </c>
      <c r="D37" s="6">
        <f>VLOOKUP($A37, '[1]2 2020 Data'!$C$7:$AB$236,D$26+1,FALSE)+VLOOKUP($A37, '[1]2 2020 Data'!$C$7:$AB$236,D$26+2,FALSE)+VLOOKUP($A37, '[1]2 2020 Data'!$C$7:$AB$236,D$26+3,FALSE)+VLOOKUP($A37, '[1]2 2020 Data'!$C$7:$AB$236,D$26+4,FALSE)</f>
        <v>16863</v>
      </c>
      <c r="E37" s="6">
        <f>VLOOKUP($A37, '[1]2 2020 Data'!$C$7:$AB$236,'[1]2 2020 Data'!L$6+1,FALSE)</f>
        <v>4445</v>
      </c>
      <c r="F37" s="6">
        <f>VLOOKUP($A37, '[1]2 2020 Data'!$C$7:$AB$236,'[1]2 2020 Data'!M$6+1,FALSE)</f>
        <v>4460</v>
      </c>
      <c r="G37" s="6">
        <f>VLOOKUP($A37, '[1]2 2020 Data'!$C$7:$AB$236,'[1]2 2020 Data'!N$6+1,FALSE)</f>
        <v>4092</v>
      </c>
      <c r="H37" s="6">
        <f>VLOOKUP($A37, '[1]2 2020 Data'!$C$7:$AB$236,'[1]2 2020 Data'!O$6+1,FALSE)</f>
        <v>1647</v>
      </c>
      <c r="I37" s="6">
        <f>VLOOKUP($A37, '[1]2 2020 Data'!$C$7:$AB$236,'[1]2 2020 Data'!P$6+1,FALSE)</f>
        <v>1126</v>
      </c>
      <c r="J37" s="6">
        <f>VLOOKUP($A37, '[1]2 2020 Data'!$C$7:$AB$236,'[1]2 2020 Data'!Q$6+1,FALSE)</f>
        <v>775</v>
      </c>
      <c r="K37" s="6">
        <f>VLOOKUP($A37, '[1]2 2020 Data'!$C$7:$AB$236,'[1]2 2020 Data'!R$6+1,FALSE)</f>
        <v>635</v>
      </c>
      <c r="L37" s="6">
        <f>VLOOKUP($A37, '[1]2 2020 Data'!$C$7:$AB$236,'[1]2 2020 Data'!S$6+1,FALSE)</f>
        <v>457</v>
      </c>
      <c r="M37" s="6">
        <f>VLOOKUP($A37, '[1]2 2020 Data'!$C$7:$AB$236,'[1]2 2020 Data'!T$6+1,FALSE)</f>
        <v>430</v>
      </c>
      <c r="N37" s="6">
        <f>VLOOKUP($A37, '[1]2 2020 Data'!$C$7:$AB$236,'[1]2 2020 Data'!U$6+1,FALSE)</f>
        <v>565</v>
      </c>
    </row>
    <row r="38" spans="1:16" x14ac:dyDescent="0.35">
      <c r="A38" s="3" t="s">
        <v>30</v>
      </c>
      <c r="B38" s="1" t="s">
        <v>15</v>
      </c>
      <c r="C38" s="6">
        <f>VLOOKUP($A38, '[1]2 2020 Data'!$C$7:$AB$236,C$26+1,FALSE)+VLOOKUP($A38, '[1]2 2020 Data'!$C$7:$AB$236,C$26+2,FALSE)+VLOOKUP($A38, '[1]2 2020 Data'!$C$7:$AB$236,C$26+3,FALSE)+VLOOKUP($A38, '[1]2 2020 Data'!$C$7:$AB$236,C$26+4,FALSE)</f>
        <v>23271</v>
      </c>
      <c r="D38" s="6">
        <f>VLOOKUP($A38, '[1]2 2020 Data'!$C$7:$AB$236,D$26+1,FALSE)+VLOOKUP($A38, '[1]2 2020 Data'!$C$7:$AB$236,D$26+2,FALSE)+VLOOKUP($A38, '[1]2 2020 Data'!$C$7:$AB$236,D$26+3,FALSE)+VLOOKUP($A38, '[1]2 2020 Data'!$C$7:$AB$236,D$26+4,FALSE)</f>
        <v>22664</v>
      </c>
      <c r="E38" s="6">
        <f>VLOOKUP($A38, '[1]2 2020 Data'!$C$7:$AB$236,'[1]2 2020 Data'!L$6+1,FALSE)</f>
        <v>5677</v>
      </c>
      <c r="F38" s="6">
        <f>VLOOKUP($A38, '[1]2 2020 Data'!$C$7:$AB$236,'[1]2 2020 Data'!M$6+1,FALSE)</f>
        <v>5354</v>
      </c>
      <c r="G38" s="6">
        <f>VLOOKUP($A38, '[1]2 2020 Data'!$C$7:$AB$236,'[1]2 2020 Data'!N$6+1,FALSE)</f>
        <v>4426</v>
      </c>
      <c r="H38" s="6">
        <f>VLOOKUP($A38, '[1]2 2020 Data'!$C$7:$AB$236,'[1]2 2020 Data'!O$6+1,FALSE)</f>
        <v>2420</v>
      </c>
      <c r="I38" s="6">
        <f>VLOOKUP($A38, '[1]2 2020 Data'!$C$7:$AB$236,'[1]2 2020 Data'!P$6+1,FALSE)</f>
        <v>808</v>
      </c>
      <c r="J38" s="6">
        <f>VLOOKUP($A38, '[1]2 2020 Data'!$C$7:$AB$236,'[1]2 2020 Data'!Q$6+1,FALSE)</f>
        <v>883</v>
      </c>
      <c r="K38" s="6">
        <f>VLOOKUP($A38, '[1]2 2020 Data'!$C$7:$AB$236,'[1]2 2020 Data'!R$6+1,FALSE)</f>
        <v>1098</v>
      </c>
      <c r="L38" s="6">
        <f>VLOOKUP($A38, '[1]2 2020 Data'!$C$7:$AB$236,'[1]2 2020 Data'!S$6+1,FALSE)</f>
        <v>1019</v>
      </c>
      <c r="M38" s="6">
        <f>VLOOKUP($A38, '[1]2 2020 Data'!$C$7:$AB$236,'[1]2 2020 Data'!T$6+1,FALSE)</f>
        <v>925</v>
      </c>
      <c r="N38" s="6">
        <f>VLOOKUP($A38, '[1]2 2020 Data'!$C$7:$AB$236,'[1]2 2020 Data'!U$6+1,FALSE)</f>
        <v>1068</v>
      </c>
    </row>
    <row r="39" spans="1:16" x14ac:dyDescent="0.35">
      <c r="A39" s="3" t="s">
        <v>31</v>
      </c>
      <c r="B39" s="1" t="s">
        <v>16</v>
      </c>
      <c r="C39" s="6">
        <f>VLOOKUP($A39, '[1]2 2020 Data'!$C$7:$AB$236,C$26+1,FALSE)+VLOOKUP($A39, '[1]2 2020 Data'!$C$7:$AB$236,C$26+2,FALSE)+VLOOKUP($A39, '[1]2 2020 Data'!$C$7:$AB$236,C$26+3,FALSE)+VLOOKUP($A39, '[1]2 2020 Data'!$C$7:$AB$236,C$26+4,FALSE)</f>
        <v>34754</v>
      </c>
      <c r="D39" s="6">
        <f>VLOOKUP($A39, '[1]2 2020 Data'!$C$7:$AB$236,D$26+1,FALSE)+VLOOKUP($A39, '[1]2 2020 Data'!$C$7:$AB$236,D$26+2,FALSE)+VLOOKUP($A39, '[1]2 2020 Data'!$C$7:$AB$236,D$26+3,FALSE)+VLOOKUP($A39, '[1]2 2020 Data'!$C$7:$AB$236,D$26+4,FALSE)</f>
        <v>30207</v>
      </c>
      <c r="E39" s="6">
        <f>VLOOKUP($A39, '[1]2 2020 Data'!$C$7:$AB$236,'[1]2 2020 Data'!L$6+1,FALSE)</f>
        <v>5532</v>
      </c>
      <c r="F39" s="6">
        <f>VLOOKUP($A39, '[1]2 2020 Data'!$C$7:$AB$236,'[1]2 2020 Data'!M$6+1,FALSE)</f>
        <v>4014</v>
      </c>
      <c r="G39" s="6">
        <f>VLOOKUP($A39, '[1]2 2020 Data'!$C$7:$AB$236,'[1]2 2020 Data'!N$6+1,FALSE)</f>
        <v>3649</v>
      </c>
      <c r="H39" s="6">
        <f>VLOOKUP($A39, '[1]2 2020 Data'!$C$7:$AB$236,'[1]2 2020 Data'!O$6+1,FALSE)</f>
        <v>3700</v>
      </c>
      <c r="I39" s="6">
        <f>VLOOKUP($A39, '[1]2 2020 Data'!$C$7:$AB$236,'[1]2 2020 Data'!P$6+1,FALSE)</f>
        <v>3652</v>
      </c>
      <c r="J39" s="6">
        <f>VLOOKUP($A39, '[1]2 2020 Data'!$C$7:$AB$236,'[1]2 2020 Data'!Q$6+1,FALSE)</f>
        <v>3451</v>
      </c>
      <c r="K39" s="6">
        <f>VLOOKUP($A39, '[1]2 2020 Data'!$C$7:$AB$236,'[1]2 2020 Data'!R$6+1,FALSE)</f>
        <v>3364</v>
      </c>
      <c r="L39" s="6">
        <f>VLOOKUP($A39, '[1]2 2020 Data'!$C$7:$AB$236,'[1]2 2020 Data'!S$6+1,FALSE)</f>
        <v>3525</v>
      </c>
      <c r="M39" s="6">
        <f>VLOOKUP($A39, '[1]2 2020 Data'!$C$7:$AB$236,'[1]2 2020 Data'!T$6+1,FALSE)</f>
        <v>4455</v>
      </c>
      <c r="N39" s="6">
        <f>VLOOKUP($A39, '[1]2 2020 Data'!$C$7:$AB$236,'[1]2 2020 Data'!U$6+1,FALSE)</f>
        <v>4380</v>
      </c>
    </row>
    <row r="40" spans="1:16" x14ac:dyDescent="0.35">
      <c r="A40" s="3" t="s">
        <v>17</v>
      </c>
      <c r="B40" s="1" t="s">
        <v>17</v>
      </c>
      <c r="C40" s="6">
        <f>VLOOKUP($A40, '[1]2 2020 Data'!$C$7:$AB$236,C$26+1,FALSE)+VLOOKUP($A40, '[1]2 2020 Data'!$C$7:$AB$236,C$26+2,FALSE)+VLOOKUP($A40, '[1]2 2020 Data'!$C$7:$AB$236,C$26+3,FALSE)+VLOOKUP($A40, '[1]2 2020 Data'!$C$7:$AB$236,C$26+4,FALSE)</f>
        <v>877029</v>
      </c>
      <c r="D40" s="6">
        <f>VLOOKUP($A40, '[1]2 2020 Data'!$C$7:$AB$236,D$26+1,FALSE)+VLOOKUP($A40, '[1]2 2020 Data'!$C$7:$AB$236,D$26+2,FALSE)+VLOOKUP($A40, '[1]2 2020 Data'!$C$7:$AB$236,D$26+3,FALSE)+VLOOKUP($A40, '[1]2 2020 Data'!$C$7:$AB$236,D$26+4,FALSE)</f>
        <v>898492</v>
      </c>
      <c r="E40" s="6">
        <f>VLOOKUP($A40, '[1]2 2020 Data'!$C$7:$AB$236,'[1]2 2020 Data'!L$6+1,FALSE)</f>
        <v>230771</v>
      </c>
      <c r="F40" s="6">
        <f>VLOOKUP($A40, '[1]2 2020 Data'!$C$7:$AB$236,'[1]2 2020 Data'!M$6+1,FALSE)</f>
        <v>236489</v>
      </c>
      <c r="G40" s="6">
        <f>VLOOKUP($A40, '[1]2 2020 Data'!$C$7:$AB$236,'[1]2 2020 Data'!N$6+1,FALSE)</f>
        <v>237920</v>
      </c>
      <c r="H40" s="6">
        <f>VLOOKUP($A40, '[1]2 2020 Data'!$C$7:$AB$236,'[1]2 2020 Data'!O$6+1,FALSE)</f>
        <v>227433</v>
      </c>
      <c r="I40" s="6">
        <f>VLOOKUP($A40, '[1]2 2020 Data'!$C$7:$AB$236,'[1]2 2020 Data'!P$6+1,FALSE)</f>
        <v>183691</v>
      </c>
      <c r="J40" s="6">
        <f>VLOOKUP($A40, '[1]2 2020 Data'!$C$7:$AB$236,'[1]2 2020 Data'!Q$6+1,FALSE)</f>
        <v>129861</v>
      </c>
      <c r="K40" s="6">
        <f>VLOOKUP($A40, '[1]2 2020 Data'!$C$7:$AB$236,'[1]2 2020 Data'!R$6+1,FALSE)</f>
        <v>98955</v>
      </c>
      <c r="L40" s="6">
        <f>VLOOKUP($A40, '[1]2 2020 Data'!$C$7:$AB$236,'[1]2 2020 Data'!S$6+1,FALSE)</f>
        <v>93056</v>
      </c>
      <c r="M40" s="6">
        <f>VLOOKUP($A40, '[1]2 2020 Data'!$C$7:$AB$236,'[1]2 2020 Data'!T$6+1,FALSE)</f>
        <v>86908</v>
      </c>
      <c r="N40" s="6">
        <f>VLOOKUP($A40, '[1]2 2020 Data'!$C$7:$AB$236,'[1]2 2020 Data'!U$6+1,FALSE)</f>
        <v>61006</v>
      </c>
    </row>
    <row r="41" spans="1:16" x14ac:dyDescent="0.35">
      <c r="A41" s="3" t="s">
        <v>18</v>
      </c>
      <c r="B41" s="1" t="s">
        <v>18</v>
      </c>
      <c r="C41" s="6">
        <f>VLOOKUP($A41, '[1]2 2020 Data'!$C$7:$AB$236,C$26+1,FALSE)+VLOOKUP($A41, '[1]2 2020 Data'!$C$7:$AB$236,C$26+2,FALSE)+VLOOKUP($A41, '[1]2 2020 Data'!$C$7:$AB$236,C$26+3,FALSE)+VLOOKUP($A41, '[1]2 2020 Data'!$C$7:$AB$236,C$26+4,FALSE)</f>
        <v>122123</v>
      </c>
      <c r="D41" s="6">
        <f>VLOOKUP($A41, '[1]2 2020 Data'!$C$7:$AB$236,D$26+1,FALSE)+VLOOKUP($A41, '[1]2 2020 Data'!$C$7:$AB$236,D$26+2,FALSE)+VLOOKUP($A41, '[1]2 2020 Data'!$C$7:$AB$236,D$26+3,FALSE)+VLOOKUP($A41, '[1]2 2020 Data'!$C$7:$AB$236,D$26+4,FALSE)</f>
        <v>122622</v>
      </c>
      <c r="E41" s="6">
        <f>VLOOKUP($A41, '[1]2 2020 Data'!$C$7:$AB$236,'[1]2 2020 Data'!L$6+1,FALSE)</f>
        <v>31071</v>
      </c>
      <c r="F41" s="6">
        <f>VLOOKUP($A41, '[1]2 2020 Data'!$C$7:$AB$236,'[1]2 2020 Data'!M$6+1,FALSE)</f>
        <v>30814</v>
      </c>
      <c r="G41" s="6">
        <f>VLOOKUP($A41, '[1]2 2020 Data'!$C$7:$AB$236,'[1]2 2020 Data'!N$6+1,FALSE)</f>
        <v>30082</v>
      </c>
      <c r="H41" s="6">
        <f>VLOOKUP($A41, '[1]2 2020 Data'!$C$7:$AB$236,'[1]2 2020 Data'!O$6+1,FALSE)</f>
        <v>27170</v>
      </c>
      <c r="I41" s="6">
        <f>VLOOKUP($A41, '[1]2 2020 Data'!$C$7:$AB$236,'[1]2 2020 Data'!P$6+1,FALSE)</f>
        <v>8589</v>
      </c>
      <c r="J41" s="6">
        <f>VLOOKUP($A41, '[1]2 2020 Data'!$C$7:$AB$236,'[1]2 2020 Data'!Q$6+1,FALSE)</f>
        <v>7833</v>
      </c>
      <c r="K41" s="6">
        <f>VLOOKUP($A41, '[1]2 2020 Data'!$C$7:$AB$236,'[1]2 2020 Data'!R$6+1,FALSE)</f>
        <v>5436</v>
      </c>
      <c r="L41" s="6">
        <f>VLOOKUP($A41, '[1]2 2020 Data'!$C$7:$AB$236,'[1]2 2020 Data'!S$6+1,FALSE)</f>
        <v>3147</v>
      </c>
      <c r="M41" s="6">
        <f>VLOOKUP($A41, '[1]2 2020 Data'!$C$7:$AB$236,'[1]2 2020 Data'!T$6+1,FALSE)</f>
        <v>1740</v>
      </c>
      <c r="N41" s="6">
        <f>VLOOKUP($A41, '[1]2 2020 Data'!$C$7:$AB$236,'[1]2 2020 Data'!U$6+1,FALSE)</f>
        <v>2491</v>
      </c>
    </row>
    <row r="42" spans="1:16" x14ac:dyDescent="0.35">
      <c r="A42" s="3" t="s">
        <v>19</v>
      </c>
      <c r="B42" s="1" t="s">
        <v>19</v>
      </c>
      <c r="C42" s="6">
        <f>VLOOKUP($A42, '[1]2 2020 Data'!$C$7:$AB$236,C$26+1,FALSE)+VLOOKUP($A42, '[1]2 2020 Data'!$C$7:$AB$236,C$26+2,FALSE)+VLOOKUP($A42, '[1]2 2020 Data'!$C$7:$AB$236,C$26+3,FALSE)+VLOOKUP($A42, '[1]2 2020 Data'!$C$7:$AB$236,C$26+4,FALSE)</f>
        <v>464522</v>
      </c>
      <c r="D42" s="6">
        <f>VLOOKUP($A42, '[1]2 2020 Data'!$C$7:$AB$236,D$26+1,FALSE)+VLOOKUP($A42, '[1]2 2020 Data'!$C$7:$AB$236,D$26+2,FALSE)+VLOOKUP($A42, '[1]2 2020 Data'!$C$7:$AB$236,D$26+3,FALSE)+VLOOKUP($A42, '[1]2 2020 Data'!$C$7:$AB$236,D$26+4,FALSE)</f>
        <v>203314</v>
      </c>
      <c r="E42" s="6">
        <f>VLOOKUP($A42, '[1]2 2020 Data'!$C$7:$AB$236,'[1]2 2020 Data'!L$6+1,FALSE)</f>
        <v>63179</v>
      </c>
      <c r="F42" s="6">
        <f>VLOOKUP($A42, '[1]2 2020 Data'!$C$7:$AB$236,'[1]2 2020 Data'!M$6+1,FALSE)</f>
        <v>61200</v>
      </c>
      <c r="G42" s="6">
        <f>VLOOKUP($A42, '[1]2 2020 Data'!$C$7:$AB$236,'[1]2 2020 Data'!N$6+1,FALSE)</f>
        <v>64426</v>
      </c>
      <c r="H42" s="6">
        <f>VLOOKUP($A42, '[1]2 2020 Data'!$C$7:$AB$236,'[1]2 2020 Data'!O$6+1,FALSE)</f>
        <v>65735</v>
      </c>
      <c r="I42" s="6">
        <f>VLOOKUP($A42, '[1]2 2020 Data'!$C$7:$AB$236,'[1]2 2020 Data'!P$6+1,FALSE)</f>
        <v>61072</v>
      </c>
      <c r="J42" s="6">
        <f>VLOOKUP($A42, '[1]2 2020 Data'!$C$7:$AB$236,'[1]2 2020 Data'!Q$6+1,FALSE)</f>
        <v>59699</v>
      </c>
      <c r="K42" s="6">
        <f>VLOOKUP($A42, '[1]2 2020 Data'!$C$7:$AB$236,'[1]2 2020 Data'!R$6+1,FALSE)</f>
        <v>63787</v>
      </c>
      <c r="L42" s="6">
        <f>VLOOKUP($A42, '[1]2 2020 Data'!$C$7:$AB$236,'[1]2 2020 Data'!S$6+1,FALSE)</f>
        <v>63298</v>
      </c>
      <c r="M42" s="6">
        <f>VLOOKUP($A42, '[1]2 2020 Data'!$C$7:$AB$236,'[1]2 2020 Data'!T$6+1,FALSE)</f>
        <v>66837</v>
      </c>
      <c r="N42" s="6">
        <f>VLOOKUP($A42, '[1]2 2020 Data'!$C$7:$AB$236,'[1]2 2020 Data'!U$6+1,FALSE)</f>
        <v>74459</v>
      </c>
    </row>
    <row r="43" spans="1:16" x14ac:dyDescent="0.35">
      <c r="A43" s="3" t="s">
        <v>20</v>
      </c>
      <c r="B43" s="1" t="s">
        <v>20</v>
      </c>
      <c r="C43" s="6">
        <f>VLOOKUP($A43, '[1]2 2020 Data'!$C$7:$AB$236,C$26+1,FALSE)+VLOOKUP($A43, '[1]2 2020 Data'!$C$7:$AB$236,C$26+2,FALSE)+VLOOKUP($A43, '[1]2 2020 Data'!$C$7:$AB$236,C$26+3,FALSE)+VLOOKUP($A43, '[1]2 2020 Data'!$C$7:$AB$236,C$26+4,FALSE)</f>
        <v>90059</v>
      </c>
      <c r="D43" s="6">
        <f>VLOOKUP($A43, '[1]2 2020 Data'!$C$7:$AB$236,D$26+1,FALSE)+VLOOKUP($A43, '[1]2 2020 Data'!$C$7:$AB$236,D$26+2,FALSE)+VLOOKUP($A43, '[1]2 2020 Data'!$C$7:$AB$236,D$26+3,FALSE)+VLOOKUP($A43, '[1]2 2020 Data'!$C$7:$AB$236,D$26+4,FALSE)</f>
        <v>85483</v>
      </c>
      <c r="E43" s="6">
        <f>VLOOKUP($A43, '[1]2 2020 Data'!$C$7:$AB$236,'[1]2 2020 Data'!L$6+1,FALSE)</f>
        <v>20523</v>
      </c>
      <c r="F43" s="6">
        <f>VLOOKUP($A43, '[1]2 2020 Data'!$C$7:$AB$236,'[1]2 2020 Data'!M$6+1,FALSE)</f>
        <v>18906</v>
      </c>
      <c r="G43" s="6">
        <f>VLOOKUP($A43, '[1]2 2020 Data'!$C$7:$AB$236,'[1]2 2020 Data'!N$6+1,FALSE)</f>
        <v>18063</v>
      </c>
      <c r="H43" s="6">
        <f>VLOOKUP($A43, '[1]2 2020 Data'!$C$7:$AB$236,'[1]2 2020 Data'!O$6+1,FALSE)</f>
        <v>17103</v>
      </c>
      <c r="I43" s="6">
        <f>VLOOKUP($A43, '[1]2 2020 Data'!$C$7:$AB$236,'[1]2 2020 Data'!P$6+1,FALSE)</f>
        <v>16532</v>
      </c>
      <c r="J43" s="6">
        <f>VLOOKUP($A43, '[1]2 2020 Data'!$C$7:$AB$236,'[1]2 2020 Data'!Q$6+1,FALSE)</f>
        <v>15451</v>
      </c>
      <c r="K43" s="6">
        <f>VLOOKUP($A43, '[1]2 2020 Data'!$C$7:$AB$236,'[1]2 2020 Data'!R$6+1,FALSE)</f>
        <v>13633</v>
      </c>
      <c r="L43" s="6">
        <f>VLOOKUP($A43, '[1]2 2020 Data'!$C$7:$AB$236,'[1]2 2020 Data'!S$6+1,FALSE)</f>
        <v>12749</v>
      </c>
      <c r="M43" s="6">
        <f>VLOOKUP($A43, '[1]2 2020 Data'!$C$7:$AB$236,'[1]2 2020 Data'!T$6+1,FALSE)</f>
        <v>12925</v>
      </c>
      <c r="N43" s="6">
        <f>VLOOKUP($A43, '[1]2 2020 Data'!$C$7:$AB$236,'[1]2 2020 Data'!U$6+1,FALSE)</f>
        <v>11950</v>
      </c>
    </row>
    <row r="44" spans="1:16" x14ac:dyDescent="0.35">
      <c r="B44" s="1"/>
      <c r="C44" s="1"/>
      <c r="D44" s="1"/>
      <c r="E44" s="1"/>
      <c r="F44" s="1"/>
      <c r="G44" s="1"/>
      <c r="H44" s="1"/>
      <c r="I44" s="1"/>
      <c r="J44" s="1"/>
      <c r="L44" s="1"/>
      <c r="M44" s="1"/>
      <c r="N44" s="1"/>
      <c r="O44" s="1"/>
      <c r="P44" s="1"/>
    </row>
    <row r="45" spans="1:16" ht="18.5" x14ac:dyDescent="0.45">
      <c r="B45" s="2" t="s">
        <v>26</v>
      </c>
      <c r="C45" s="1"/>
      <c r="D45" s="1"/>
      <c r="E45" s="1"/>
      <c r="F45" s="1"/>
      <c r="G45" s="1"/>
      <c r="H45" s="1"/>
      <c r="I45" s="1"/>
      <c r="J45" s="1"/>
      <c r="L45" s="1"/>
      <c r="M45" s="1"/>
      <c r="N45" s="1"/>
      <c r="O45" s="1"/>
      <c r="P45" s="1"/>
    </row>
    <row r="46" spans="1:16" x14ac:dyDescent="0.35">
      <c r="B46" s="1"/>
      <c r="C46" s="1"/>
      <c r="D46" s="1"/>
      <c r="E46" s="1"/>
      <c r="F46" s="1"/>
      <c r="G46" s="1"/>
      <c r="H46" s="1"/>
      <c r="I46" s="1"/>
      <c r="J46" s="1"/>
      <c r="L46" s="1"/>
      <c r="M46" s="1"/>
      <c r="N46" s="1"/>
      <c r="O46" s="1"/>
      <c r="P46" s="1"/>
    </row>
    <row r="47" spans="1:16" x14ac:dyDescent="0.35">
      <c r="B47" s="1" t="s">
        <v>23</v>
      </c>
      <c r="C47" s="4" t="s">
        <v>24</v>
      </c>
      <c r="D47" s="4" t="s">
        <v>25</v>
      </c>
      <c r="E47" s="4">
        <v>43894</v>
      </c>
      <c r="F47" s="4">
        <v>43901</v>
      </c>
      <c r="G47" s="4">
        <v>43908</v>
      </c>
      <c r="H47" s="4">
        <v>43915</v>
      </c>
      <c r="I47" s="4">
        <v>43922</v>
      </c>
      <c r="J47" s="4">
        <v>43929</v>
      </c>
      <c r="K47" s="4">
        <v>43936</v>
      </c>
      <c r="L47" s="4">
        <v>43943</v>
      </c>
      <c r="M47" s="4">
        <v>43950</v>
      </c>
      <c r="N47" s="4">
        <v>43957</v>
      </c>
    </row>
    <row r="48" spans="1:16" x14ac:dyDescent="0.35">
      <c r="A48" s="3" t="s">
        <v>27</v>
      </c>
      <c r="B48" s="1" t="s">
        <v>5</v>
      </c>
      <c r="C48" s="6">
        <f>VLOOKUP($A48, '[1]2 2019 Data'!$C$7:$AB$236,C$26+1,FALSE)+VLOOKUP($A48, '[1]2 2019 Data'!$C$7:$AB$236,C$26+2,FALSE)+VLOOKUP($A48, '[1]2 2019 Data'!$C$7:$AB$236,C$26+3,FALSE)+VLOOKUP($A48, '[1]2 2019 Data'!$C$7:$AB$236,C$26+4,FALSE)</f>
        <v>3206851</v>
      </c>
      <c r="D48" s="6">
        <f>VLOOKUP($A48, '[1]2 2019 Data'!$C$7:$AB$236,D$26+1,FALSE)+VLOOKUP($A48, '[1]2 2019 Data'!$C$7:$AB$236,D$26+2,FALSE)+VLOOKUP($A48, '[1]2 2019 Data'!$C$7:$AB$236,D$26+3,FALSE)+VLOOKUP($A48, '[1]2 2019 Data'!$C$7:$AB$236,D$26+4,FALSE)</f>
        <v>3250430</v>
      </c>
      <c r="E48" s="6">
        <f>VLOOKUP($A28, '[1]2 2019 Data'!$C$7:$AB$236,'[1]2 2020 Data'!L$6+1,FALSE)</f>
        <v>822043</v>
      </c>
      <c r="F48" s="6">
        <f>VLOOKUP($A28, '[1]2 2019 Data'!$C$7:$AB$236,'[1]2 2020 Data'!M$6+1,FALSE)</f>
        <v>826516</v>
      </c>
      <c r="G48" s="6">
        <f>VLOOKUP($A28, '[1]2 2019 Data'!$C$7:$AB$236,'[1]2 2020 Data'!N$6+1,FALSE)</f>
        <v>822084</v>
      </c>
      <c r="H48" s="6">
        <f>VLOOKUP($A28,'[1]2 2019 Data'!$C$7:$AB$236,'[1]2 2020 Data'!O$6+1,FALSE)</f>
        <v>819387</v>
      </c>
      <c r="I48" s="6">
        <f>VLOOKUP($A28, '[1]2 2019 Data'!$C$7:$AB$236,'[1]2 2020 Data'!P$6+1,FALSE)</f>
        <v>836372</v>
      </c>
      <c r="J48" s="6">
        <f>VLOOKUP($A28, '[1]2 2019 Data'!$C$7:$AB$236,'[1]2 2020 Data'!Q$6+1,FALSE)</f>
        <v>841411</v>
      </c>
      <c r="K48" s="6">
        <f>VLOOKUP($A28, '[1]2 2019 Data'!$C$7:$AB$236,'[1]2 2020 Data'!R$6+1,FALSE)</f>
        <v>834146</v>
      </c>
      <c r="L48" s="6">
        <f>VLOOKUP($A28, '[1]2 2019 Data'!$C$7:$AB$236,'[1]2 2020 Data'!S$6+1,FALSE)</f>
        <v>843338</v>
      </c>
      <c r="M48" s="6">
        <f>VLOOKUP($A28, '[1]2 2019 Data'!$C$7:$AB$236,'[1]2 2020 Data'!T$6+1,FALSE)</f>
        <v>843491</v>
      </c>
      <c r="N48" s="6">
        <f>VLOOKUP($A28, '[1]2 2019 Data'!$C$7:$AB$236,'[1]2 2020 Data'!U$6+1,FALSE)</f>
        <v>843421</v>
      </c>
    </row>
    <row r="49" spans="1:16" x14ac:dyDescent="0.35">
      <c r="A49" s="3" t="s">
        <v>6</v>
      </c>
      <c r="B49" s="1" t="s">
        <v>6</v>
      </c>
      <c r="C49" s="6">
        <f>VLOOKUP($A49, '[1]2 2019 Data'!$C$7:$AB$236,C$26+1,FALSE)+VLOOKUP($A49, '[1]2 2019 Data'!$C$7:$AB$236,C$26+2,FALSE)+VLOOKUP($A49, '[1]2 2019 Data'!$C$7:$AB$236,C$26+3,FALSE)+VLOOKUP($A49, '[1]2 2019 Data'!$C$7:$AB$236,C$26+4,FALSE)</f>
        <v>58577</v>
      </c>
      <c r="D49" s="6">
        <f>VLOOKUP($A49, '[1]2 2019 Data'!$C$7:$AB$236,D$26+1,FALSE)+VLOOKUP($A49, '[1]2 2019 Data'!$C$7:$AB$236,D$26+2,FALSE)+VLOOKUP($A49, '[1]2 2019 Data'!$C$7:$AB$236,D$26+3,FALSE)+VLOOKUP($A49, '[1]2 2019 Data'!$C$7:$AB$236,D$26+4,FALSE)</f>
        <v>61257</v>
      </c>
      <c r="E49" s="6">
        <f>VLOOKUP($A29, '[1]2 2019 Data'!$C$7:$AB$236,'[1]2 2020 Data'!L$6+1,FALSE)</f>
        <v>15903</v>
      </c>
      <c r="F49" s="6">
        <f>VLOOKUP($A29, '[1]2 2019 Data'!$C$7:$AB$236,'[1]2 2020 Data'!M$6+1,FALSE)</f>
        <v>15842</v>
      </c>
      <c r="G49" s="6">
        <f>VLOOKUP($A29, '[1]2 2019 Data'!$C$7:$AB$236,'[1]2 2020 Data'!N$6+1,FALSE)</f>
        <v>15818</v>
      </c>
      <c r="H49" s="6">
        <f>VLOOKUP($A29,'[1]2 2019 Data'!$C$7:$AB$236,'[1]2 2020 Data'!O$6+1,FALSE)</f>
        <v>16008</v>
      </c>
      <c r="I49" s="6">
        <f>VLOOKUP($A29, '[1]2 2019 Data'!$C$7:$AB$236,'[1]2 2020 Data'!P$6+1,FALSE)</f>
        <v>18445</v>
      </c>
      <c r="J49" s="6">
        <f>VLOOKUP($A29, '[1]2 2019 Data'!$C$7:$AB$236,'[1]2 2020 Data'!Q$6+1,FALSE)</f>
        <v>18981</v>
      </c>
      <c r="K49" s="6">
        <f>VLOOKUP($A29, '[1]2 2019 Data'!$C$7:$AB$236,'[1]2 2020 Data'!R$6+1,FALSE)</f>
        <v>19114</v>
      </c>
      <c r="L49" s="6">
        <f>VLOOKUP($A29, '[1]2 2019 Data'!$C$7:$AB$236,'[1]2 2020 Data'!S$6+1,FALSE)</f>
        <v>19417</v>
      </c>
      <c r="M49" s="6">
        <f>VLOOKUP($A29, '[1]2 2019 Data'!$C$7:$AB$236,'[1]2 2020 Data'!T$6+1,FALSE)</f>
        <v>19313</v>
      </c>
      <c r="N49" s="6">
        <f>VLOOKUP($A29, '[1]2 2019 Data'!$C$7:$AB$236,'[1]2 2020 Data'!U$6+1,FALSE)</f>
        <v>19519</v>
      </c>
    </row>
    <row r="50" spans="1:16" x14ac:dyDescent="0.35">
      <c r="A50" s="3" t="s">
        <v>28</v>
      </c>
      <c r="B50" s="1" t="s">
        <v>7</v>
      </c>
      <c r="C50" s="6">
        <f>VLOOKUP($A50, '[1]2 2019 Data'!$C$7:$AB$236,C$26+1,FALSE)+VLOOKUP($A50, '[1]2 2019 Data'!$C$7:$AB$236,C$26+2,FALSE)+VLOOKUP($A50, '[1]2 2019 Data'!$C$7:$AB$236,C$26+3,FALSE)+VLOOKUP($A50, '[1]2 2019 Data'!$C$7:$AB$236,C$26+4,FALSE)</f>
        <v>15040</v>
      </c>
      <c r="D50" s="6">
        <f>VLOOKUP($A50, '[1]2 2019 Data'!$C$7:$AB$236,D$26+1,FALSE)+VLOOKUP($A50, '[1]2 2019 Data'!$C$7:$AB$236,D$26+2,FALSE)+VLOOKUP($A50, '[1]2 2019 Data'!$C$7:$AB$236,D$26+3,FALSE)+VLOOKUP($A50, '[1]2 2019 Data'!$C$7:$AB$236,D$26+4,FALSE)</f>
        <v>15143</v>
      </c>
      <c r="E50" s="6">
        <f>VLOOKUP($A30, '[1]2 2019 Data'!$C$7:$AB$236,'[1]2 2020 Data'!L$6+1,FALSE)</f>
        <v>3701</v>
      </c>
      <c r="F50" s="6">
        <f>VLOOKUP($A30, '[1]2 2019 Data'!$C$7:$AB$236,'[1]2 2020 Data'!M$6+1,FALSE)</f>
        <v>3723</v>
      </c>
      <c r="G50" s="6">
        <f>VLOOKUP($A30, '[1]2 2019 Data'!$C$7:$AB$236,'[1]2 2020 Data'!N$6+1,FALSE)</f>
        <v>3737</v>
      </c>
      <c r="H50" s="6">
        <f>VLOOKUP($A30,'[1]2 2019 Data'!$C$7:$AB$236,'[1]2 2020 Data'!O$6+1,FALSE)</f>
        <v>3744</v>
      </c>
      <c r="I50" s="6">
        <f>VLOOKUP($A30, '[1]2 2019 Data'!$C$7:$AB$236,'[1]2 2020 Data'!P$6+1,FALSE)</f>
        <v>3748</v>
      </c>
      <c r="J50" s="6">
        <f>VLOOKUP($A30, '[1]2 2019 Data'!$C$7:$AB$236,'[1]2 2020 Data'!Q$6+1,FALSE)</f>
        <v>3740</v>
      </c>
      <c r="K50" s="6">
        <f>VLOOKUP($A30, '[1]2 2019 Data'!$C$7:$AB$236,'[1]2 2020 Data'!R$6+1,FALSE)</f>
        <v>3775</v>
      </c>
      <c r="L50" s="6">
        <f>VLOOKUP($A30, '[1]2 2019 Data'!$C$7:$AB$236,'[1]2 2020 Data'!S$6+1,FALSE)</f>
        <v>3793</v>
      </c>
      <c r="M50" s="6">
        <f>VLOOKUP($A30, '[1]2 2019 Data'!$C$7:$AB$236,'[1]2 2020 Data'!T$6+1,FALSE)</f>
        <v>3786</v>
      </c>
      <c r="N50" s="6">
        <f>VLOOKUP($A30, '[1]2 2019 Data'!$C$7:$AB$236,'[1]2 2020 Data'!U$6+1,FALSE)</f>
        <v>3725</v>
      </c>
    </row>
    <row r="51" spans="1:16" x14ac:dyDescent="0.35">
      <c r="A51" s="3" t="s">
        <v>8</v>
      </c>
      <c r="B51" s="1" t="s">
        <v>8</v>
      </c>
      <c r="C51" s="6">
        <f>VLOOKUP($A51, '[1]2 2019 Data'!$C$7:$AB$236,C$26+1,FALSE)+VLOOKUP($A51, '[1]2 2019 Data'!$C$7:$AB$236,C$26+2,FALSE)+VLOOKUP($A51, '[1]2 2019 Data'!$C$7:$AB$236,C$26+3,FALSE)+VLOOKUP($A51, '[1]2 2019 Data'!$C$7:$AB$236,C$26+4,FALSE)</f>
        <v>67179</v>
      </c>
      <c r="D51" s="6">
        <f>VLOOKUP($A51, '[1]2 2019 Data'!$C$7:$AB$236,D$26+1,FALSE)+VLOOKUP($A51, '[1]2 2019 Data'!$C$7:$AB$236,D$26+2,FALSE)+VLOOKUP($A51, '[1]2 2019 Data'!$C$7:$AB$236,D$26+3,FALSE)+VLOOKUP($A51, '[1]2 2019 Data'!$C$7:$AB$236,D$26+4,FALSE)</f>
        <v>69859</v>
      </c>
      <c r="E51" s="6">
        <f>VLOOKUP($A31, '[1]2 2019 Data'!$C$7:$AB$236,'[1]2 2020 Data'!L$6+1,FALSE)</f>
        <v>17622</v>
      </c>
      <c r="F51" s="6">
        <f>VLOOKUP($A31, '[1]2 2019 Data'!$C$7:$AB$236,'[1]2 2020 Data'!M$6+1,FALSE)</f>
        <v>17616</v>
      </c>
      <c r="G51" s="6">
        <f>VLOOKUP($A31, '[1]2 2019 Data'!$C$7:$AB$236,'[1]2 2020 Data'!N$6+1,FALSE)</f>
        <v>17587</v>
      </c>
      <c r="H51" s="6">
        <f>VLOOKUP($A31,'[1]2 2019 Data'!$C$7:$AB$236,'[1]2 2020 Data'!O$6+1,FALSE)</f>
        <v>17793</v>
      </c>
      <c r="I51" s="6">
        <f>VLOOKUP($A31, '[1]2 2019 Data'!$C$7:$AB$236,'[1]2 2020 Data'!P$6+1,FALSE)</f>
        <v>18980</v>
      </c>
      <c r="J51" s="6">
        <f>VLOOKUP($A31, '[1]2 2019 Data'!$C$7:$AB$236,'[1]2 2020 Data'!Q$6+1,FALSE)</f>
        <v>19249</v>
      </c>
      <c r="K51" s="6">
        <f>VLOOKUP($A31, '[1]2 2019 Data'!$C$7:$AB$236,'[1]2 2020 Data'!R$6+1,FALSE)</f>
        <v>18340</v>
      </c>
      <c r="L51" s="6">
        <f>VLOOKUP($A31, '[1]2 2019 Data'!$C$7:$AB$236,'[1]2 2020 Data'!S$6+1,FALSE)</f>
        <v>18834</v>
      </c>
      <c r="M51" s="6">
        <f>VLOOKUP($A31, '[1]2 2019 Data'!$C$7:$AB$236,'[1]2 2020 Data'!T$6+1,FALSE)</f>
        <v>19349</v>
      </c>
      <c r="N51" s="6">
        <f>VLOOKUP($A31, '[1]2 2019 Data'!$C$7:$AB$236,'[1]2 2020 Data'!U$6+1,FALSE)</f>
        <v>19804</v>
      </c>
    </row>
    <row r="52" spans="1:16" x14ac:dyDescent="0.35">
      <c r="A52" s="3" t="s">
        <v>9</v>
      </c>
      <c r="B52" s="1" t="s">
        <v>9</v>
      </c>
      <c r="C52" s="6">
        <f>VLOOKUP($A52, '[1]2 2019 Data'!$C$7:$AB$236,C$26+1,FALSE)+VLOOKUP($A52, '[1]2 2019 Data'!$C$7:$AB$236,C$26+2,FALSE)+VLOOKUP($A52, '[1]2 2019 Data'!$C$7:$AB$236,C$26+3,FALSE)+VLOOKUP($A52, '[1]2 2019 Data'!$C$7:$AB$236,C$26+4,FALSE)</f>
        <v>15663</v>
      </c>
      <c r="D52" s="6">
        <f>VLOOKUP($A52, '[1]2 2019 Data'!$C$7:$AB$236,D$26+1,FALSE)+VLOOKUP($A52, '[1]2 2019 Data'!$C$7:$AB$236,D$26+2,FALSE)+VLOOKUP($A52, '[1]2 2019 Data'!$C$7:$AB$236,D$26+3,FALSE)+VLOOKUP($A52, '[1]2 2019 Data'!$C$7:$AB$236,D$26+4,FALSE)</f>
        <v>15860</v>
      </c>
      <c r="E52" s="6">
        <f>VLOOKUP($A32, '[1]2 2019 Data'!$C$7:$AB$236,'[1]2 2020 Data'!L$6+1,FALSE)</f>
        <v>3880</v>
      </c>
      <c r="F52" s="6">
        <f>VLOOKUP($A32, '[1]2 2019 Data'!$C$7:$AB$236,'[1]2 2020 Data'!M$6+1,FALSE)</f>
        <v>3901</v>
      </c>
      <c r="G52" s="6">
        <f>VLOOKUP($A32, '[1]2 2019 Data'!$C$7:$AB$236,'[1]2 2020 Data'!N$6+1,FALSE)</f>
        <v>3719</v>
      </c>
      <c r="H52" s="6">
        <f>VLOOKUP($A32,'[1]2 2019 Data'!$C$7:$AB$236,'[1]2 2020 Data'!O$6+1,FALSE)</f>
        <v>3707</v>
      </c>
      <c r="I52" s="6">
        <f>VLOOKUP($A32, '[1]2 2019 Data'!$C$7:$AB$236,'[1]2 2020 Data'!P$6+1,FALSE)</f>
        <v>3727</v>
      </c>
      <c r="J52" s="6">
        <f>VLOOKUP($A32, '[1]2 2019 Data'!$C$7:$AB$236,'[1]2 2020 Data'!Q$6+1,FALSE)</f>
        <v>3728</v>
      </c>
      <c r="K52" s="6">
        <f>VLOOKUP($A32, '[1]2 2019 Data'!$C$7:$AB$236,'[1]2 2020 Data'!R$6+1,FALSE)</f>
        <v>3734</v>
      </c>
      <c r="L52" s="6">
        <f>VLOOKUP($A32, '[1]2 2019 Data'!$C$7:$AB$236,'[1]2 2020 Data'!S$6+1,FALSE)</f>
        <v>3762</v>
      </c>
      <c r="M52" s="6">
        <f>VLOOKUP($A32, '[1]2 2019 Data'!$C$7:$AB$236,'[1]2 2020 Data'!T$6+1,FALSE)</f>
        <v>3767</v>
      </c>
      <c r="N52" s="6">
        <f>VLOOKUP($A32, '[1]2 2019 Data'!$C$7:$AB$236,'[1]2 2020 Data'!U$6+1,FALSE)</f>
        <v>3674</v>
      </c>
    </row>
    <row r="53" spans="1:16" x14ac:dyDescent="0.35">
      <c r="A53" s="3" t="s">
        <v>10</v>
      </c>
      <c r="B53" s="1" t="s">
        <v>10</v>
      </c>
      <c r="C53" s="6">
        <f>VLOOKUP($A53, '[1]2 2019 Data'!$C$7:$AB$236,C$26+1,FALSE)+VLOOKUP($A53, '[1]2 2019 Data'!$C$7:$AB$236,C$26+2,FALSE)+VLOOKUP($A53, '[1]2 2019 Data'!$C$7:$AB$236,C$26+3,FALSE)+VLOOKUP($A53, '[1]2 2019 Data'!$C$7:$AB$236,C$26+4,FALSE)</f>
        <v>44483</v>
      </c>
      <c r="D53" s="6">
        <f>VLOOKUP($A53, '[1]2 2019 Data'!$C$7:$AB$236,D$26+1,FALSE)+VLOOKUP($A53, '[1]2 2019 Data'!$C$7:$AB$236,D$26+2,FALSE)+VLOOKUP($A53, '[1]2 2019 Data'!$C$7:$AB$236,D$26+3,FALSE)+VLOOKUP($A53, '[1]2 2019 Data'!$C$7:$AB$236,D$26+4,FALSE)</f>
        <v>45923</v>
      </c>
      <c r="E53" s="6">
        <f>VLOOKUP($A33, '[1]2 2019 Data'!$C$7:$AB$236,'[1]2 2020 Data'!L$6+1,FALSE)</f>
        <v>11568</v>
      </c>
      <c r="F53" s="6">
        <f>VLOOKUP($A33, '[1]2 2019 Data'!$C$7:$AB$236,'[1]2 2020 Data'!M$6+1,FALSE)</f>
        <v>11568</v>
      </c>
      <c r="G53" s="6">
        <f>VLOOKUP($A33, '[1]2 2019 Data'!$C$7:$AB$236,'[1]2 2020 Data'!N$6+1,FALSE)</f>
        <v>11547</v>
      </c>
      <c r="H53" s="6">
        <f>VLOOKUP($A33,'[1]2 2019 Data'!$C$7:$AB$236,'[1]2 2020 Data'!O$6+1,FALSE)</f>
        <v>11520</v>
      </c>
      <c r="I53" s="6">
        <f>VLOOKUP($A33, '[1]2 2019 Data'!$C$7:$AB$236,'[1]2 2020 Data'!P$6+1,FALSE)</f>
        <v>13521</v>
      </c>
      <c r="J53" s="6">
        <f>VLOOKUP($A33, '[1]2 2019 Data'!$C$7:$AB$236,'[1]2 2020 Data'!Q$6+1,FALSE)</f>
        <v>13685</v>
      </c>
      <c r="K53" s="6">
        <f>VLOOKUP($A33, '[1]2 2019 Data'!$C$7:$AB$236,'[1]2 2020 Data'!R$6+1,FALSE)</f>
        <v>13912</v>
      </c>
      <c r="L53" s="6">
        <f>VLOOKUP($A33, '[1]2 2019 Data'!$C$7:$AB$236,'[1]2 2020 Data'!S$6+1,FALSE)</f>
        <v>13959</v>
      </c>
      <c r="M53" s="6">
        <f>VLOOKUP($A33, '[1]2 2019 Data'!$C$7:$AB$236,'[1]2 2020 Data'!T$6+1,FALSE)</f>
        <v>14033</v>
      </c>
      <c r="N53" s="6">
        <f>VLOOKUP($A33, '[1]2 2019 Data'!$C$7:$AB$236,'[1]2 2020 Data'!U$6+1,FALSE)</f>
        <v>14205</v>
      </c>
    </row>
    <row r="54" spans="1:16" x14ac:dyDescent="0.35">
      <c r="A54" s="3" t="s">
        <v>11</v>
      </c>
      <c r="B54" s="1" t="s">
        <v>11</v>
      </c>
      <c r="C54" s="6">
        <f>VLOOKUP($A54, '[1]2 2019 Data'!$C$7:$AB$236,C$26+1,FALSE)+VLOOKUP($A54, '[1]2 2019 Data'!$C$7:$AB$236,C$26+2,FALSE)+VLOOKUP($A54, '[1]2 2019 Data'!$C$7:$AB$236,C$26+3,FALSE)+VLOOKUP($A54, '[1]2 2019 Data'!$C$7:$AB$236,C$26+4,FALSE)</f>
        <v>48438</v>
      </c>
      <c r="D54" s="6">
        <f>VLOOKUP($A54, '[1]2 2019 Data'!$C$7:$AB$236,D$26+1,FALSE)+VLOOKUP($A54, '[1]2 2019 Data'!$C$7:$AB$236,D$26+2,FALSE)+VLOOKUP($A54, '[1]2 2019 Data'!$C$7:$AB$236,D$26+3,FALSE)+VLOOKUP($A54, '[1]2 2019 Data'!$C$7:$AB$236,D$26+4,FALSE)</f>
        <v>49883</v>
      </c>
      <c r="E54" s="6">
        <f>VLOOKUP($A34, '[1]2 2019 Data'!$C$7:$AB$236,'[1]2 2020 Data'!L$6+1,FALSE)</f>
        <v>12813</v>
      </c>
      <c r="F54" s="6">
        <f>VLOOKUP($A34, '[1]2 2019 Data'!$C$7:$AB$236,'[1]2 2020 Data'!M$6+1,FALSE)</f>
        <v>13078</v>
      </c>
      <c r="G54" s="6">
        <f>VLOOKUP($A34, '[1]2 2019 Data'!$C$7:$AB$236,'[1]2 2020 Data'!N$6+1,FALSE)</f>
        <v>12872</v>
      </c>
      <c r="H54" s="6">
        <f>VLOOKUP($A34,'[1]2 2019 Data'!$C$7:$AB$236,'[1]2 2020 Data'!O$6+1,FALSE)</f>
        <v>13111</v>
      </c>
      <c r="I54" s="6">
        <f>VLOOKUP($A34, '[1]2 2019 Data'!$C$7:$AB$236,'[1]2 2020 Data'!P$6+1,FALSE)</f>
        <v>14779</v>
      </c>
      <c r="J54" s="6">
        <f>VLOOKUP($A34, '[1]2 2019 Data'!$C$7:$AB$236,'[1]2 2020 Data'!Q$6+1,FALSE)</f>
        <v>15130</v>
      </c>
      <c r="K54" s="6">
        <f>VLOOKUP($A34, '[1]2 2019 Data'!$C$7:$AB$236,'[1]2 2020 Data'!R$6+1,FALSE)</f>
        <v>15194</v>
      </c>
      <c r="L54" s="6">
        <f>VLOOKUP($A34, '[1]2 2019 Data'!$C$7:$AB$236,'[1]2 2020 Data'!S$6+1,FALSE)</f>
        <v>15257</v>
      </c>
      <c r="M54" s="6">
        <f>VLOOKUP($A34, '[1]2 2019 Data'!$C$7:$AB$236,'[1]2 2020 Data'!T$6+1,FALSE)</f>
        <v>15124</v>
      </c>
      <c r="N54" s="6">
        <f>VLOOKUP($A34, '[1]2 2019 Data'!$C$7:$AB$236,'[1]2 2020 Data'!U$6+1,FALSE)</f>
        <v>14876</v>
      </c>
    </row>
    <row r="55" spans="1:16" x14ac:dyDescent="0.35">
      <c r="A55" s="3" t="s">
        <v>29</v>
      </c>
      <c r="B55" s="1" t="s">
        <v>12</v>
      </c>
      <c r="C55" s="6">
        <f>VLOOKUP($A55, '[1]2 2019 Data'!$C$7:$AB$236,C$26+1,FALSE)+VLOOKUP($A55, '[1]2 2019 Data'!$C$7:$AB$236,C$26+2,FALSE)+VLOOKUP($A55, '[1]2 2019 Data'!$C$7:$AB$236,C$26+3,FALSE)+VLOOKUP($A55, '[1]2 2019 Data'!$C$7:$AB$236,C$26+4,FALSE)</f>
        <v>71683</v>
      </c>
      <c r="D55" s="6">
        <f>VLOOKUP($A55, '[1]2 2019 Data'!$C$7:$AB$236,D$26+1,FALSE)+VLOOKUP($A55, '[1]2 2019 Data'!$C$7:$AB$236,D$26+2,FALSE)+VLOOKUP($A55, '[1]2 2019 Data'!$C$7:$AB$236,D$26+3,FALSE)+VLOOKUP($A55, '[1]2 2019 Data'!$C$7:$AB$236,D$26+4,FALSE)</f>
        <v>76984</v>
      </c>
      <c r="E55" s="6">
        <f>VLOOKUP($A35, '[1]2 2019 Data'!$C$7:$AB$236,'[1]2 2020 Data'!L$6+1,FALSE)</f>
        <v>19520</v>
      </c>
      <c r="F55" s="6">
        <f>VLOOKUP($A35, '[1]2 2019 Data'!$C$7:$AB$236,'[1]2 2020 Data'!M$6+1,FALSE)</f>
        <v>19600</v>
      </c>
      <c r="G55" s="6">
        <f>VLOOKUP($A35, '[1]2 2019 Data'!$C$7:$AB$236,'[1]2 2020 Data'!N$6+1,FALSE)</f>
        <v>19443</v>
      </c>
      <c r="H55" s="6">
        <f>VLOOKUP($A35,'[1]2 2019 Data'!$C$7:$AB$236,'[1]2 2020 Data'!O$6+1,FALSE)</f>
        <v>19629</v>
      </c>
      <c r="I55" s="6">
        <f>VLOOKUP($A35, '[1]2 2019 Data'!$C$7:$AB$236,'[1]2 2020 Data'!P$6+1,FALSE)</f>
        <v>21568</v>
      </c>
      <c r="J55" s="6">
        <f>VLOOKUP($A35, '[1]2 2019 Data'!$C$7:$AB$236,'[1]2 2020 Data'!Q$6+1,FALSE)</f>
        <v>21872</v>
      </c>
      <c r="K55" s="6">
        <f>VLOOKUP($A35, '[1]2 2019 Data'!$C$7:$AB$236,'[1]2 2020 Data'!R$6+1,FALSE)</f>
        <v>21604</v>
      </c>
      <c r="L55" s="6">
        <f>VLOOKUP($A35, '[1]2 2019 Data'!$C$7:$AB$236,'[1]2 2020 Data'!S$6+1,FALSE)</f>
        <v>21636</v>
      </c>
      <c r="M55" s="6">
        <f>VLOOKUP($A35, '[1]2 2019 Data'!$C$7:$AB$236,'[1]2 2020 Data'!T$6+1,FALSE)</f>
        <v>22479</v>
      </c>
      <c r="N55" s="6">
        <f>VLOOKUP($A35, '[1]2 2019 Data'!$C$7:$AB$236,'[1]2 2020 Data'!U$6+1,FALSE)</f>
        <v>22661</v>
      </c>
    </row>
    <row r="56" spans="1:16" x14ac:dyDescent="0.35">
      <c r="A56" s="3" t="s">
        <v>13</v>
      </c>
      <c r="B56" s="1" t="s">
        <v>13</v>
      </c>
      <c r="C56" s="6">
        <f>VLOOKUP($A56, '[1]2 2019 Data'!$C$7:$AB$236,C$26+1,FALSE)+VLOOKUP($A56, '[1]2 2019 Data'!$C$7:$AB$236,C$26+2,FALSE)+VLOOKUP($A56, '[1]2 2019 Data'!$C$7:$AB$236,C$26+3,FALSE)+VLOOKUP($A56, '[1]2 2019 Data'!$C$7:$AB$236,C$26+4,FALSE)</f>
        <v>58345</v>
      </c>
      <c r="D56" s="6">
        <f>VLOOKUP($A56, '[1]2 2019 Data'!$C$7:$AB$236,D$26+1,FALSE)+VLOOKUP($A56, '[1]2 2019 Data'!$C$7:$AB$236,D$26+2,FALSE)+VLOOKUP($A56, '[1]2 2019 Data'!$C$7:$AB$236,D$26+3,FALSE)+VLOOKUP($A56, '[1]2 2019 Data'!$C$7:$AB$236,D$26+4,FALSE)</f>
        <v>60040</v>
      </c>
      <c r="E56" s="6">
        <f>VLOOKUP($A36, '[1]2 2019 Data'!$C$7:$AB$236,'[1]2 2020 Data'!L$6+1,FALSE)</f>
        <v>14937</v>
      </c>
      <c r="F56" s="6">
        <f>VLOOKUP($A36, '[1]2 2019 Data'!$C$7:$AB$236,'[1]2 2020 Data'!M$6+1,FALSE)</f>
        <v>15061</v>
      </c>
      <c r="G56" s="6">
        <f>VLOOKUP($A36, '[1]2 2019 Data'!$C$7:$AB$236,'[1]2 2020 Data'!N$6+1,FALSE)</f>
        <v>15040</v>
      </c>
      <c r="H56" s="6">
        <f>VLOOKUP($A36,'[1]2 2019 Data'!$C$7:$AB$236,'[1]2 2020 Data'!O$6+1,FALSE)</f>
        <v>14748</v>
      </c>
      <c r="I56" s="6">
        <f>VLOOKUP($A36, '[1]2 2019 Data'!$C$7:$AB$236,'[1]2 2020 Data'!P$6+1,FALSE)</f>
        <v>15101</v>
      </c>
      <c r="J56" s="6">
        <f>VLOOKUP($A36, '[1]2 2019 Data'!$C$7:$AB$236,'[1]2 2020 Data'!Q$6+1,FALSE)</f>
        <v>15535</v>
      </c>
      <c r="K56" s="6">
        <f>VLOOKUP($A36, '[1]2 2019 Data'!$C$7:$AB$236,'[1]2 2020 Data'!R$6+1,FALSE)</f>
        <v>14761</v>
      </c>
      <c r="L56" s="6">
        <f>VLOOKUP($A36, '[1]2 2019 Data'!$C$7:$AB$236,'[1]2 2020 Data'!S$6+1,FALSE)</f>
        <v>14204</v>
      </c>
      <c r="M56" s="6">
        <f>VLOOKUP($A36, '[1]2 2019 Data'!$C$7:$AB$236,'[1]2 2020 Data'!T$6+1,FALSE)</f>
        <v>15110</v>
      </c>
      <c r="N56" s="6">
        <f>VLOOKUP($A36, '[1]2 2019 Data'!$C$7:$AB$236,'[1]2 2020 Data'!U$6+1,FALSE)</f>
        <v>14881</v>
      </c>
    </row>
    <row r="57" spans="1:16" x14ac:dyDescent="0.35">
      <c r="A57" s="3" t="s">
        <v>14</v>
      </c>
      <c r="B57" s="1" t="s">
        <v>14</v>
      </c>
      <c r="C57" s="6">
        <f>VLOOKUP($A57, '[1]2 2019 Data'!$C$7:$AB$236,C$26+1,FALSE)+VLOOKUP($A57, '[1]2 2019 Data'!$C$7:$AB$236,C$26+2,FALSE)+VLOOKUP($A57, '[1]2 2019 Data'!$C$7:$AB$236,C$26+3,FALSE)+VLOOKUP($A57, '[1]2 2019 Data'!$C$7:$AB$236,C$26+4,FALSE)</f>
        <v>17318</v>
      </c>
      <c r="D57" s="6">
        <f>VLOOKUP($A57, '[1]2 2019 Data'!$C$7:$AB$236,D$26+1,FALSE)+VLOOKUP($A57, '[1]2 2019 Data'!$C$7:$AB$236,D$26+2,FALSE)+VLOOKUP($A57, '[1]2 2019 Data'!$C$7:$AB$236,D$26+3,FALSE)+VLOOKUP($A57, '[1]2 2019 Data'!$C$7:$AB$236,D$26+4,FALSE)</f>
        <v>17866</v>
      </c>
      <c r="E57" s="6">
        <f>VLOOKUP($A37, '[1]2 2019 Data'!$C$7:$AB$236,'[1]2 2020 Data'!L$6+1,FALSE)</f>
        <v>4668</v>
      </c>
      <c r="F57" s="6">
        <f>VLOOKUP($A37, '[1]2 2019 Data'!$C$7:$AB$236,'[1]2 2020 Data'!M$6+1,FALSE)</f>
        <v>4763</v>
      </c>
      <c r="G57" s="6">
        <f>VLOOKUP($A37, '[1]2 2019 Data'!$C$7:$AB$236,'[1]2 2020 Data'!N$6+1,FALSE)</f>
        <v>4763</v>
      </c>
      <c r="H57" s="6">
        <f>VLOOKUP($A37,'[1]2 2019 Data'!$C$7:$AB$236,'[1]2 2020 Data'!O$6+1,FALSE)</f>
        <v>4752</v>
      </c>
      <c r="I57" s="6">
        <f>VLOOKUP($A37, '[1]2 2019 Data'!$C$7:$AB$236,'[1]2 2020 Data'!P$6+1,FALSE)</f>
        <v>4909</v>
      </c>
      <c r="J57" s="6">
        <f>VLOOKUP($A37, '[1]2 2019 Data'!$C$7:$AB$236,'[1]2 2020 Data'!Q$6+1,FALSE)</f>
        <v>4896</v>
      </c>
      <c r="K57" s="6">
        <f>VLOOKUP($A37, '[1]2 2019 Data'!$C$7:$AB$236,'[1]2 2020 Data'!R$6+1,FALSE)</f>
        <v>4069</v>
      </c>
      <c r="L57" s="6">
        <f>VLOOKUP($A37, '[1]2 2019 Data'!$C$7:$AB$236,'[1]2 2020 Data'!S$6+1,FALSE)</f>
        <v>4554</v>
      </c>
      <c r="M57" s="6">
        <f>VLOOKUP($A37, '[1]2 2019 Data'!$C$7:$AB$236,'[1]2 2020 Data'!T$6+1,FALSE)</f>
        <v>4212</v>
      </c>
      <c r="N57" s="6">
        <f>VLOOKUP($A37, '[1]2 2019 Data'!$C$7:$AB$236,'[1]2 2020 Data'!U$6+1,FALSE)</f>
        <v>4921</v>
      </c>
    </row>
    <row r="58" spans="1:16" x14ac:dyDescent="0.35">
      <c r="A58" s="3" t="s">
        <v>30</v>
      </c>
      <c r="B58" s="1" t="s">
        <v>15</v>
      </c>
      <c r="C58" s="6">
        <f>VLOOKUP($A58, '[1]2 2019 Data'!$C$7:$AB$236,C$26+1,FALSE)+VLOOKUP($A58, '[1]2 2019 Data'!$C$7:$AB$236,C$26+2,FALSE)+VLOOKUP($A58, '[1]2 2019 Data'!$C$7:$AB$236,C$26+3,FALSE)+VLOOKUP($A58, '[1]2 2019 Data'!$C$7:$AB$236,C$26+4,FALSE)</f>
        <v>23730</v>
      </c>
      <c r="D58" s="6">
        <f>VLOOKUP($A58, '[1]2 2019 Data'!$C$7:$AB$236,D$26+1,FALSE)+VLOOKUP($A58, '[1]2 2019 Data'!$C$7:$AB$236,D$26+2,FALSE)+VLOOKUP($A58, '[1]2 2019 Data'!$C$7:$AB$236,D$26+3,FALSE)+VLOOKUP($A58, '[1]2 2019 Data'!$C$7:$AB$236,D$26+4,FALSE)</f>
        <v>23373</v>
      </c>
      <c r="E58" s="6">
        <f>VLOOKUP($A38, '[1]2 2019 Data'!$C$7:$AB$236,'[1]2 2020 Data'!L$6+1,FALSE)</f>
        <v>5848</v>
      </c>
      <c r="F58" s="6">
        <f>VLOOKUP($A38, '[1]2 2019 Data'!$C$7:$AB$236,'[1]2 2020 Data'!M$6+1,FALSE)</f>
        <v>5841</v>
      </c>
      <c r="G58" s="6">
        <f>VLOOKUP($A38, '[1]2 2019 Data'!$C$7:$AB$236,'[1]2 2020 Data'!N$6+1,FALSE)</f>
        <v>5857</v>
      </c>
      <c r="H58" s="6">
        <f>VLOOKUP($A38,'[1]2 2019 Data'!$C$7:$AB$236,'[1]2 2020 Data'!O$6+1,FALSE)</f>
        <v>5706</v>
      </c>
      <c r="I58" s="6">
        <f>VLOOKUP($A38, '[1]2 2019 Data'!$C$7:$AB$236,'[1]2 2020 Data'!P$6+1,FALSE)</f>
        <v>5671</v>
      </c>
      <c r="J58" s="6">
        <f>VLOOKUP($A38, '[1]2 2019 Data'!$C$7:$AB$236,'[1]2 2020 Data'!Q$6+1,FALSE)</f>
        <v>5660</v>
      </c>
      <c r="K58" s="6">
        <f>VLOOKUP($A38, '[1]2 2019 Data'!$C$7:$AB$236,'[1]2 2020 Data'!R$6+1,FALSE)</f>
        <v>5102</v>
      </c>
      <c r="L58" s="6">
        <f>VLOOKUP($A38, '[1]2 2019 Data'!$C$7:$AB$236,'[1]2 2020 Data'!S$6+1,FALSE)</f>
        <v>5028</v>
      </c>
      <c r="M58" s="6">
        <f>VLOOKUP($A38, '[1]2 2019 Data'!$C$7:$AB$236,'[1]2 2020 Data'!T$6+1,FALSE)</f>
        <v>4968</v>
      </c>
      <c r="N58" s="6">
        <f>VLOOKUP($A38, '[1]2 2019 Data'!$C$7:$AB$236,'[1]2 2020 Data'!U$6+1,FALSE)</f>
        <v>4872</v>
      </c>
    </row>
    <row r="59" spans="1:16" x14ac:dyDescent="0.35">
      <c r="A59" s="3" t="s">
        <v>31</v>
      </c>
      <c r="B59" s="1" t="s">
        <v>16</v>
      </c>
      <c r="C59" s="6">
        <f>VLOOKUP($A59, '[1]2 2019 Data'!$C$7:$AB$236,C$26+1,FALSE)+VLOOKUP($A59, '[1]2 2019 Data'!$C$7:$AB$236,C$26+2,FALSE)+VLOOKUP($A59, '[1]2 2019 Data'!$C$7:$AB$236,C$26+3,FALSE)+VLOOKUP($A59, '[1]2 2019 Data'!$C$7:$AB$236,C$26+4,FALSE)</f>
        <v>34021</v>
      </c>
      <c r="D59" s="6">
        <f>VLOOKUP($A59, '[1]2 2019 Data'!$C$7:$AB$236,D$26+1,FALSE)+VLOOKUP($A59, '[1]2 2019 Data'!$C$7:$AB$236,D$26+2,FALSE)+VLOOKUP($A59, '[1]2 2019 Data'!$C$7:$AB$236,D$26+3,FALSE)+VLOOKUP($A59, '[1]2 2019 Data'!$C$7:$AB$236,D$26+4,FALSE)</f>
        <v>34155</v>
      </c>
      <c r="E59" s="6">
        <f>VLOOKUP($A39, '[1]2 2019 Data'!$C$7:$AB$236,'[1]2 2020 Data'!L$6+1,FALSE)</f>
        <v>8394</v>
      </c>
      <c r="F59" s="6">
        <f>VLOOKUP($A39, '[1]2 2019 Data'!$C$7:$AB$236,'[1]2 2020 Data'!M$6+1,FALSE)</f>
        <v>8372</v>
      </c>
      <c r="G59" s="6">
        <f>VLOOKUP($A39, '[1]2 2019 Data'!$C$7:$AB$236,'[1]2 2020 Data'!N$6+1,FALSE)</f>
        <v>8317</v>
      </c>
      <c r="H59" s="6">
        <f>VLOOKUP($A39,'[1]2 2019 Data'!$C$7:$AB$236,'[1]2 2020 Data'!O$6+1,FALSE)</f>
        <v>8357</v>
      </c>
      <c r="I59" s="6">
        <f>VLOOKUP($A39, '[1]2 2019 Data'!$C$7:$AB$236,'[1]2 2020 Data'!P$6+1,FALSE)</f>
        <v>8407</v>
      </c>
      <c r="J59" s="6">
        <f>VLOOKUP($A39, '[1]2 2019 Data'!$C$7:$AB$236,'[1]2 2020 Data'!Q$6+1,FALSE)</f>
        <v>8475</v>
      </c>
      <c r="K59" s="6">
        <f>VLOOKUP($A39, '[1]2 2019 Data'!$C$7:$AB$236,'[1]2 2020 Data'!R$6+1,FALSE)</f>
        <v>8507</v>
      </c>
      <c r="L59" s="6">
        <f>VLOOKUP($A39, '[1]2 2019 Data'!$C$7:$AB$236,'[1]2 2020 Data'!S$6+1,FALSE)</f>
        <v>8562</v>
      </c>
      <c r="M59" s="6">
        <f>VLOOKUP($A39, '[1]2 2019 Data'!$C$7:$AB$236,'[1]2 2020 Data'!T$6+1,FALSE)</f>
        <v>8647</v>
      </c>
      <c r="N59" s="6">
        <f>VLOOKUP($A39, '[1]2 2019 Data'!$C$7:$AB$236,'[1]2 2020 Data'!U$6+1,FALSE)</f>
        <v>8668</v>
      </c>
    </row>
    <row r="60" spans="1:16" x14ac:dyDescent="0.35">
      <c r="A60" s="3" t="s">
        <v>17</v>
      </c>
      <c r="B60" s="1" t="s">
        <v>17</v>
      </c>
      <c r="C60" s="6">
        <f>VLOOKUP($A60, '[1]2 2019 Data'!$C$7:$AB$236,C$26+1,FALSE)+VLOOKUP($A60, '[1]2 2019 Data'!$C$7:$AB$236,C$26+2,FALSE)+VLOOKUP($A60, '[1]2 2019 Data'!$C$7:$AB$236,C$26+3,FALSE)+VLOOKUP($A60, '[1]2 2019 Data'!$C$7:$AB$236,C$26+4,FALSE)</f>
        <v>862687</v>
      </c>
      <c r="D60" s="6">
        <f>VLOOKUP($A60, '[1]2 2019 Data'!$C$7:$AB$236,D$26+1,FALSE)+VLOOKUP($A60, '[1]2 2019 Data'!$C$7:$AB$236,D$26+2,FALSE)+VLOOKUP($A60, '[1]2 2019 Data'!$C$7:$AB$236,D$26+3,FALSE)+VLOOKUP($A60, '[1]2 2019 Data'!$C$7:$AB$236,D$26+4,FALSE)</f>
        <v>887407</v>
      </c>
      <c r="E60" s="6">
        <f>VLOOKUP($A40, '[1]2 2019 Data'!$C$7:$AB$236,'[1]2 2020 Data'!L$6+1,FALSE)</f>
        <v>235765</v>
      </c>
      <c r="F60" s="6">
        <f>VLOOKUP($A40, '[1]2 2019 Data'!$C$7:$AB$236,'[1]2 2020 Data'!M$6+1,FALSE)</f>
        <v>239663</v>
      </c>
      <c r="G60" s="6">
        <f>VLOOKUP($A40, '[1]2 2019 Data'!$C$7:$AB$236,'[1]2 2020 Data'!N$6+1,FALSE)</f>
        <v>239077</v>
      </c>
      <c r="H60" s="6">
        <f>VLOOKUP($A40,'[1]2 2019 Data'!$C$7:$AB$236,'[1]2 2020 Data'!O$6+1,FALSE)</f>
        <v>238824</v>
      </c>
      <c r="I60" s="6">
        <f>VLOOKUP($A40, '[1]2 2019 Data'!$C$7:$AB$236,'[1]2 2020 Data'!P$6+1,FALSE)</f>
        <v>238423</v>
      </c>
      <c r="J60" s="6">
        <f>VLOOKUP($A40, '[1]2 2019 Data'!$C$7:$AB$236,'[1]2 2020 Data'!Q$6+1,FALSE)</f>
        <v>237149</v>
      </c>
      <c r="K60" s="6">
        <f>VLOOKUP($A40, '[1]2 2019 Data'!$C$7:$AB$236,'[1]2 2020 Data'!R$6+1,FALSE)</f>
        <v>235512</v>
      </c>
      <c r="L60" s="6">
        <f>VLOOKUP($A40, '[1]2 2019 Data'!$C$7:$AB$236,'[1]2 2020 Data'!S$6+1,FALSE)</f>
        <v>237132</v>
      </c>
      <c r="M60" s="6">
        <f>VLOOKUP($A40, '[1]2 2019 Data'!$C$7:$AB$236,'[1]2 2020 Data'!T$6+1,FALSE)</f>
        <v>238291</v>
      </c>
      <c r="N60" s="6">
        <f>VLOOKUP($A40, '[1]2 2019 Data'!$C$7:$AB$236,'[1]2 2020 Data'!U$6+1,FALSE)</f>
        <v>239612</v>
      </c>
    </row>
    <row r="61" spans="1:16" x14ac:dyDescent="0.35">
      <c r="A61" s="3" t="s">
        <v>18</v>
      </c>
      <c r="B61" s="1" t="s">
        <v>18</v>
      </c>
      <c r="C61" s="6">
        <f>VLOOKUP($A61, '[1]2 2019 Data'!$C$7:$AB$236,C$26+1,FALSE)+VLOOKUP($A61, '[1]2 2019 Data'!$C$7:$AB$236,C$26+2,FALSE)+VLOOKUP($A61, '[1]2 2019 Data'!$C$7:$AB$236,C$26+3,FALSE)+VLOOKUP($A61, '[1]2 2019 Data'!$C$7:$AB$236,C$26+4,FALSE)</f>
        <v>119606</v>
      </c>
      <c r="D61" s="6">
        <f>VLOOKUP($A61, '[1]2 2019 Data'!$C$7:$AB$236,D$26+1,FALSE)+VLOOKUP($A61, '[1]2 2019 Data'!$C$7:$AB$236,D$26+2,FALSE)+VLOOKUP($A61, '[1]2 2019 Data'!$C$7:$AB$236,D$26+3,FALSE)+VLOOKUP($A61, '[1]2 2019 Data'!$C$7:$AB$236,D$26+4,FALSE)</f>
        <v>115334</v>
      </c>
      <c r="E61" s="6">
        <f>VLOOKUP($A41, '[1]2 2019 Data'!$C$7:$AB$236,'[1]2 2020 Data'!L$6+1,FALSE)</f>
        <v>28275</v>
      </c>
      <c r="F61" s="6">
        <f>VLOOKUP($A41, '[1]2 2019 Data'!$C$7:$AB$236,'[1]2 2020 Data'!M$6+1,FALSE)</f>
        <v>28025</v>
      </c>
      <c r="G61" s="6">
        <f>VLOOKUP($A41, '[1]2 2019 Data'!$C$7:$AB$236,'[1]2 2020 Data'!N$6+1,FALSE)</f>
        <v>27775</v>
      </c>
      <c r="H61" s="6">
        <f>VLOOKUP($A41,'[1]2 2019 Data'!$C$7:$AB$236,'[1]2 2020 Data'!O$6+1,FALSE)</f>
        <v>26686</v>
      </c>
      <c r="I61" s="6">
        <f>VLOOKUP($A41, '[1]2 2019 Data'!$C$7:$AB$236,'[1]2 2020 Data'!P$6+1,FALSE)</f>
        <v>26861</v>
      </c>
      <c r="J61" s="6">
        <f>VLOOKUP($A41, '[1]2 2019 Data'!$C$7:$AB$236,'[1]2 2020 Data'!Q$6+1,FALSE)</f>
        <v>27062</v>
      </c>
      <c r="K61" s="6">
        <f>VLOOKUP($A41, '[1]2 2019 Data'!$C$7:$AB$236,'[1]2 2020 Data'!R$6+1,FALSE)</f>
        <v>27105</v>
      </c>
      <c r="L61" s="6">
        <f>VLOOKUP($A41, '[1]2 2019 Data'!$C$7:$AB$236,'[1]2 2020 Data'!S$6+1,FALSE)</f>
        <v>27297</v>
      </c>
      <c r="M61" s="6">
        <f>VLOOKUP($A41, '[1]2 2019 Data'!$C$7:$AB$236,'[1]2 2020 Data'!T$6+1,FALSE)</f>
        <v>27100</v>
      </c>
      <c r="N61" s="6">
        <f>VLOOKUP($A41, '[1]2 2019 Data'!$C$7:$AB$236,'[1]2 2020 Data'!U$6+1,FALSE)</f>
        <v>27358</v>
      </c>
    </row>
    <row r="62" spans="1:16" x14ac:dyDescent="0.35">
      <c r="A62" s="3" t="s">
        <v>19</v>
      </c>
      <c r="B62" s="1" t="s">
        <v>19</v>
      </c>
      <c r="C62" s="6">
        <f>VLOOKUP($A62, '[1]2 2019 Data'!$C$7:$AB$236,C$26+1,FALSE)+VLOOKUP($A62, '[1]2 2019 Data'!$C$7:$AB$236,C$26+2,FALSE)+VLOOKUP($A62, '[1]2 2019 Data'!$C$7:$AB$236,C$26+3,FALSE)+VLOOKUP($A62, '[1]2 2019 Data'!$C$7:$AB$236,C$26+4,FALSE)</f>
        <v>445339</v>
      </c>
      <c r="D62" s="6">
        <f>VLOOKUP($A62, '[1]2 2019 Data'!$C$7:$AB$236,D$26+1,FALSE)+VLOOKUP($A62, '[1]2 2019 Data'!$C$7:$AB$236,D$26+2,FALSE)+VLOOKUP($A62, '[1]2 2019 Data'!$C$7:$AB$236,D$26+3,FALSE)+VLOOKUP($A62, '[1]2 2019 Data'!$C$7:$AB$236,D$26+4,FALSE)</f>
        <v>452406</v>
      </c>
      <c r="E62" s="6">
        <f>VLOOKUP($A42, '[1]2 2019 Data'!$C$7:$AB$236,'[1]2 2020 Data'!L$6+1,FALSE)</f>
        <v>108105</v>
      </c>
      <c r="F62" s="6">
        <f>VLOOKUP($A42, '[1]2 2019 Data'!$C$7:$AB$236,'[1]2 2020 Data'!M$6+1,FALSE)</f>
        <v>107255</v>
      </c>
      <c r="G62" s="6">
        <f>VLOOKUP($A42, '[1]2 2019 Data'!$C$7:$AB$236,'[1]2 2020 Data'!N$6+1,FALSE)</f>
        <v>105151</v>
      </c>
      <c r="H62" s="6">
        <f>VLOOKUP($A42,'[1]2 2019 Data'!$C$7:$AB$236,'[1]2 2020 Data'!O$6+1,FALSE)</f>
        <v>105193</v>
      </c>
      <c r="I62" s="6">
        <f>VLOOKUP($A42, '[1]2 2019 Data'!$C$7:$AB$236,'[1]2 2020 Data'!P$6+1,FALSE)</f>
        <v>108927</v>
      </c>
      <c r="J62" s="6">
        <f>VLOOKUP($A42, '[1]2 2019 Data'!$C$7:$AB$236,'[1]2 2020 Data'!Q$6+1,FALSE)</f>
        <v>110945</v>
      </c>
      <c r="K62" s="6">
        <f>VLOOKUP($A42, '[1]2 2019 Data'!$C$7:$AB$236,'[1]2 2020 Data'!R$6+1,FALSE)</f>
        <v>111152</v>
      </c>
      <c r="L62" s="6">
        <f>VLOOKUP($A42, '[1]2 2019 Data'!$C$7:$AB$236,'[1]2 2020 Data'!S$6+1,FALSE)</f>
        <v>109834</v>
      </c>
      <c r="M62" s="6">
        <f>VLOOKUP($A42, '[1]2 2019 Data'!$C$7:$AB$236,'[1]2 2020 Data'!T$6+1,FALSE)</f>
        <v>109887</v>
      </c>
      <c r="N62" s="6">
        <f>VLOOKUP($A42, '[1]2 2019 Data'!$C$7:$AB$236,'[1]2 2020 Data'!U$6+1,FALSE)</f>
        <v>109471</v>
      </c>
    </row>
    <row r="63" spans="1:16" x14ac:dyDescent="0.35">
      <c r="A63" s="3" t="s">
        <v>20</v>
      </c>
      <c r="B63" s="1" t="s">
        <v>20</v>
      </c>
      <c r="C63" s="6">
        <f>VLOOKUP($A63, '[1]2 2019 Data'!$C$7:$AB$236,C$26+1,FALSE)+VLOOKUP($A63, '[1]2 2019 Data'!$C$7:$AB$236,C$26+2,FALSE)+VLOOKUP($A63, '[1]2 2019 Data'!$C$7:$AB$236,C$26+3,FALSE)+VLOOKUP($A63, '[1]2 2019 Data'!$C$7:$AB$236,C$26+4,FALSE)</f>
        <v>87968</v>
      </c>
      <c r="D63" s="6">
        <f>VLOOKUP($A63, '[1]2 2019 Data'!$C$7:$AB$236,D$26+1,FALSE)+VLOOKUP($A63, '[1]2 2019 Data'!$C$7:$AB$236,D$26+2,FALSE)+VLOOKUP($A63, '[1]2 2019 Data'!$C$7:$AB$236,D$26+3,FALSE)+VLOOKUP($A63, '[1]2 2019 Data'!$C$7:$AB$236,D$26+4,FALSE)</f>
        <v>88607</v>
      </c>
      <c r="E63" s="6">
        <f>VLOOKUP($A43, '[1]2 2019 Data'!$C$7:$AB$236,'[1]2 2020 Data'!L$6+1,FALSE)</f>
        <v>22204</v>
      </c>
      <c r="F63" s="6">
        <f>VLOOKUP($A43, '[1]2 2019 Data'!$C$7:$AB$236,'[1]2 2020 Data'!M$6+1,FALSE)</f>
        <v>22230</v>
      </c>
      <c r="G63" s="6">
        <f>VLOOKUP($A43, '[1]2 2019 Data'!$C$7:$AB$236,'[1]2 2020 Data'!N$6+1,FALSE)</f>
        <v>22364</v>
      </c>
      <c r="H63" s="6">
        <f>VLOOKUP($A43,'[1]2 2019 Data'!$C$7:$AB$236,'[1]2 2020 Data'!O$6+1,FALSE)</f>
        <v>22589</v>
      </c>
      <c r="I63" s="6">
        <f>VLOOKUP($A43, '[1]2 2019 Data'!$C$7:$AB$236,'[1]2 2020 Data'!P$6+1,FALSE)</f>
        <v>22925</v>
      </c>
      <c r="J63" s="6">
        <f>VLOOKUP($A43, '[1]2 2019 Data'!$C$7:$AB$236,'[1]2 2020 Data'!Q$6+1,FALSE)</f>
        <v>22730</v>
      </c>
      <c r="K63" s="6">
        <f>VLOOKUP($A43, '[1]2 2019 Data'!$C$7:$AB$236,'[1]2 2020 Data'!R$6+1,FALSE)</f>
        <v>22747</v>
      </c>
      <c r="L63" s="6">
        <f>VLOOKUP($A43, '[1]2 2019 Data'!$C$7:$AB$236,'[1]2 2020 Data'!S$6+1,FALSE)</f>
        <v>22920</v>
      </c>
      <c r="M63" s="6">
        <f>VLOOKUP($A43, '[1]2 2019 Data'!$C$7:$AB$236,'[1]2 2020 Data'!T$6+1,FALSE)</f>
        <v>23344</v>
      </c>
      <c r="N63" s="6">
        <f>VLOOKUP($A43, '[1]2 2019 Data'!$C$7:$AB$236,'[1]2 2020 Data'!U$6+1,FALSE)</f>
        <v>22559</v>
      </c>
    </row>
    <row r="64" spans="1:1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L64" s="1"/>
      <c r="M64" s="1"/>
      <c r="N64" s="1"/>
      <c r="O64" s="19"/>
      <c r="P64" s="19"/>
    </row>
    <row r="65" spans="1:1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L65" s="1"/>
      <c r="M65" s="18" t="s">
        <v>35</v>
      </c>
      <c r="N65" s="1"/>
      <c r="O65" s="19"/>
      <c r="P65" s="19"/>
    </row>
    <row r="66" spans="1:1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L66" s="1"/>
      <c r="M66" s="1"/>
      <c r="N66" s="1"/>
      <c r="O66" s="19"/>
      <c r="P66" s="19"/>
    </row>
    <row r="67" spans="1:1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L67" s="1"/>
      <c r="M67" s="1"/>
      <c r="N67" s="1"/>
      <c r="O67" s="19"/>
      <c r="P67" s="19"/>
    </row>
    <row r="68" spans="1:16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1:16" x14ac:dyDescent="0.3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1:16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1:16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1:16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1:16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</sheetData>
  <conditionalFormatting sqref="B28:B43">
    <cfRule type="colorScale" priority="7">
      <colorScale>
        <cfvo type="min"/>
        <cfvo type="max"/>
        <color rgb="FFF8696B"/>
        <color rgb="FFFCFCFF"/>
      </colorScale>
    </cfRule>
  </conditionalFormatting>
  <conditionalFormatting sqref="B48:B63">
    <cfRule type="colorScale" priority="6">
      <colorScale>
        <cfvo type="min"/>
        <cfvo type="max"/>
        <color rgb="FFF8696B"/>
        <color rgb="FFFCFCFF"/>
      </colorScale>
    </cfRule>
  </conditionalFormatting>
  <conditionalFormatting sqref="C8:N23">
    <cfRule type="colorScale" priority="8">
      <colorScale>
        <cfvo type="min"/>
        <cfvo type="max"/>
        <color rgb="FFF8696B"/>
        <color rgb="FFFCFCFF"/>
      </colorScale>
    </cfRule>
  </conditionalFormatting>
  <conditionalFormatting sqref="B8:N23">
    <cfRule type="colorScale" priority="9">
      <colorScale>
        <cfvo type="min"/>
        <cfvo type="max"/>
        <color rgb="FFF8696B"/>
        <color rgb="FFFCFCFF"/>
      </colorScale>
    </cfRule>
  </conditionalFormatting>
  <conditionalFormatting sqref="A28:A43">
    <cfRule type="colorScale" priority="3">
      <colorScale>
        <cfvo type="min"/>
        <cfvo type="max"/>
        <color rgb="FFF8696B"/>
        <color rgb="FFFCFCFF"/>
      </colorScale>
    </cfRule>
  </conditionalFormatting>
  <conditionalFormatting sqref="A48:A63">
    <cfRule type="colorScale" priority="2">
      <colorScale>
        <cfvo type="min"/>
        <cfvo type="max"/>
        <color rgb="FFF8696B"/>
        <color rgb="FFFCFCFF"/>
      </colorScale>
    </cfRule>
  </conditionalFormatting>
  <conditionalFormatting sqref="A8:A23">
    <cfRule type="colorScale" priority="1">
      <colorScale>
        <cfvo type="min"/>
        <cfvo type="max"/>
        <color rgb="FFF8696B"/>
        <color rgb="FFFCFCFF"/>
      </colorScale>
    </cfRule>
  </conditionalFormatting>
  <hyperlinks>
    <hyperlink ref="M65" r:id="rId1" xr:uid="{07C55FAF-54BA-40D2-8F4D-37CB4F4039BD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773B-4730-4DCD-AF2B-BE05373CD1AD}">
  <dimension ref="A1:T227"/>
  <sheetViews>
    <sheetView zoomScale="70" zoomScaleNormal="70" workbookViewId="0">
      <selection sqref="A1:T4"/>
    </sheetView>
  </sheetViews>
  <sheetFormatPr defaultRowHeight="14.5" x14ac:dyDescent="0.35"/>
  <cols>
    <col min="1" max="1" width="16.7265625" customWidth="1"/>
    <col min="2" max="20" width="14.1796875" customWidth="1"/>
  </cols>
  <sheetData>
    <row r="1" spans="1:20" ht="26" x14ac:dyDescent="0.6">
      <c r="A1" s="1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7.5" x14ac:dyDescent="0.35">
      <c r="A2" s="20" t="s">
        <v>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7" spans="1:20" x14ac:dyDescent="0.35">
      <c r="A7" t="s">
        <v>1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</row>
    <row r="8" spans="1:20" x14ac:dyDescent="0.35">
      <c r="A8" t="s">
        <v>2</v>
      </c>
      <c r="C8" s="7">
        <v>43836</v>
      </c>
      <c r="D8" s="7">
        <v>43843</v>
      </c>
      <c r="E8" s="7">
        <v>43850</v>
      </c>
      <c r="F8" s="7">
        <v>43857</v>
      </c>
      <c r="G8" s="7">
        <v>43864</v>
      </c>
      <c r="H8" s="7">
        <v>43871</v>
      </c>
      <c r="I8" s="7">
        <v>43878</v>
      </c>
      <c r="J8" s="7">
        <v>43885</v>
      </c>
      <c r="K8" s="7">
        <v>43892</v>
      </c>
      <c r="L8" s="7">
        <v>43899</v>
      </c>
      <c r="M8" s="7">
        <v>43906</v>
      </c>
      <c r="N8" s="7">
        <v>43913</v>
      </c>
      <c r="O8" s="7">
        <v>43920</v>
      </c>
      <c r="P8" s="7">
        <v>43927</v>
      </c>
      <c r="Q8" s="7">
        <v>43934</v>
      </c>
      <c r="R8" s="7">
        <v>43941</v>
      </c>
      <c r="S8" s="7">
        <v>43948</v>
      </c>
      <c r="T8" s="7">
        <v>43955</v>
      </c>
    </row>
    <row r="9" spans="1:20" x14ac:dyDescent="0.35">
      <c r="A9" s="8" t="s">
        <v>3</v>
      </c>
      <c r="B9" s="8"/>
      <c r="C9" s="9">
        <v>43837</v>
      </c>
      <c r="D9" s="9">
        <v>43844</v>
      </c>
      <c r="E9" s="9">
        <v>43851</v>
      </c>
      <c r="F9" s="9">
        <v>43858</v>
      </c>
      <c r="G9" s="9">
        <v>43865</v>
      </c>
      <c r="H9" s="9">
        <v>43872</v>
      </c>
      <c r="I9" s="9">
        <v>43879</v>
      </c>
      <c r="J9" s="9">
        <v>43886</v>
      </c>
      <c r="K9" s="9">
        <v>43894</v>
      </c>
      <c r="L9" s="9">
        <v>43901</v>
      </c>
      <c r="M9" s="9">
        <v>43908</v>
      </c>
      <c r="N9" s="9">
        <v>43915</v>
      </c>
      <c r="O9" s="9">
        <v>43922</v>
      </c>
      <c r="P9" s="9">
        <v>43929</v>
      </c>
      <c r="Q9" s="9">
        <v>43936</v>
      </c>
      <c r="R9" s="9">
        <v>43943</v>
      </c>
      <c r="S9" s="9">
        <v>43950</v>
      </c>
      <c r="T9" s="9">
        <v>43591</v>
      </c>
    </row>
    <row r="11" spans="1:20" x14ac:dyDescent="0.35">
      <c r="A11" t="s">
        <v>4</v>
      </c>
      <c r="C11" s="7">
        <f>C$8</f>
        <v>43836</v>
      </c>
      <c r="D11" s="7">
        <f t="shared" ref="D11:T11" si="0">D$8</f>
        <v>43843</v>
      </c>
      <c r="E11" s="7">
        <f t="shared" si="0"/>
        <v>43850</v>
      </c>
      <c r="F11" s="7">
        <f t="shared" si="0"/>
        <v>43857</v>
      </c>
      <c r="G11" s="7">
        <f t="shared" si="0"/>
        <v>43864</v>
      </c>
      <c r="H11" s="7">
        <f t="shared" si="0"/>
        <v>43871</v>
      </c>
      <c r="I11" s="7">
        <f t="shared" si="0"/>
        <v>43878</v>
      </c>
      <c r="J11" s="7">
        <f t="shared" si="0"/>
        <v>43885</v>
      </c>
      <c r="K11" s="7">
        <f t="shared" si="0"/>
        <v>43892</v>
      </c>
      <c r="L11" s="7">
        <f t="shared" si="0"/>
        <v>43899</v>
      </c>
      <c r="M11" s="7">
        <f t="shared" si="0"/>
        <v>43906</v>
      </c>
      <c r="N11" s="7">
        <f t="shared" si="0"/>
        <v>43913</v>
      </c>
      <c r="O11" s="7">
        <f t="shared" si="0"/>
        <v>43920</v>
      </c>
      <c r="P11" s="7">
        <f t="shared" si="0"/>
        <v>43927</v>
      </c>
      <c r="Q11" s="7">
        <f t="shared" si="0"/>
        <v>43934</v>
      </c>
      <c r="R11" s="7">
        <f t="shared" si="0"/>
        <v>43941</v>
      </c>
      <c r="S11" s="7">
        <f t="shared" si="0"/>
        <v>43948</v>
      </c>
      <c r="T11" s="7">
        <f t="shared" si="0"/>
        <v>43955</v>
      </c>
    </row>
    <row r="12" spans="1:20" x14ac:dyDescent="0.35">
      <c r="A12" t="s">
        <v>5</v>
      </c>
      <c r="B12">
        <v>2019</v>
      </c>
      <c r="C12" s="10">
        <f>VLOOKUP("Grand Total", '[1]2 2019 Data'!$C$7:$AB$237,1+C7,FALSE)</f>
        <v>802822</v>
      </c>
      <c r="D12" s="10">
        <f>VLOOKUP("Grand Total", '[1]2 2019 Data'!$C$7:$AB$237,1+D7,FALSE)</f>
        <v>796800</v>
      </c>
      <c r="E12" s="10">
        <f>VLOOKUP("Grand Total", '[1]2 2019 Data'!$C$7:$AB$237,1+E7,FALSE)</f>
        <v>802615</v>
      </c>
      <c r="F12" s="10">
        <f>VLOOKUP("Grand Total", '[1]2 2019 Data'!$C$7:$AB$237,1+F7,FALSE)</f>
        <v>804614</v>
      </c>
      <c r="G12" s="10">
        <f>VLOOKUP("Grand Total", '[1]2 2019 Data'!$C$7:$AB$237,1+G7,FALSE)</f>
        <v>804014</v>
      </c>
      <c r="H12" s="10">
        <f>VLOOKUP("Grand Total", '[1]2 2019 Data'!$C$7:$AB$237,1+H7,FALSE)</f>
        <v>812924</v>
      </c>
      <c r="I12" s="10">
        <f>VLOOKUP("Grand Total", '[1]2 2019 Data'!$C$7:$AB$237,1+I7,FALSE)</f>
        <v>815986</v>
      </c>
      <c r="J12" s="10">
        <f>VLOOKUP("Grand Total", '[1]2 2019 Data'!$C$7:$AB$237,1+J7,FALSE)</f>
        <v>817506</v>
      </c>
      <c r="K12" s="10">
        <f>VLOOKUP("Grand Total", '[1]2 2019 Data'!$C$7:$AB$237,1+K7,FALSE)</f>
        <v>822043</v>
      </c>
      <c r="L12" s="10">
        <f>VLOOKUP("Grand Total", '[1]2 2019 Data'!$C$7:$AB$237,1+L7,FALSE)</f>
        <v>826516</v>
      </c>
      <c r="M12" s="10">
        <f>VLOOKUP("Grand Total", '[1]2 2019 Data'!$C$7:$AB$237,1+M7,FALSE)</f>
        <v>822084</v>
      </c>
      <c r="N12" s="10">
        <f>VLOOKUP("Grand Total", '[1]2 2019 Data'!$C$7:$AB$237,1+N7,FALSE)</f>
        <v>819387</v>
      </c>
      <c r="O12" s="10">
        <f>VLOOKUP("Grand Total", '[1]2 2019 Data'!$C$7:$AB$237,1+O7,FALSE)</f>
        <v>836372</v>
      </c>
      <c r="P12" s="10">
        <f>VLOOKUP("Grand Total", '[1]2 2019 Data'!$C$7:$AB$237,1+P7,FALSE)</f>
        <v>841411</v>
      </c>
      <c r="Q12" s="10">
        <f>VLOOKUP("Grand Total", '[1]2 2019 Data'!$C$7:$AB$237,1+Q7,FALSE)</f>
        <v>834146</v>
      </c>
      <c r="R12" s="10">
        <f>VLOOKUP("Grand Total", '[1]2 2019 Data'!$C$7:$AB$237,1+R7,FALSE)</f>
        <v>843338</v>
      </c>
      <c r="S12" s="10">
        <f>VLOOKUP("Grand Total", '[1]2 2019 Data'!$C$7:$AB$237,1+S7,FALSE)</f>
        <v>843491</v>
      </c>
      <c r="T12" s="10">
        <f>VLOOKUP("Grand Total", '[1]2 2019 Data'!$C$7:$AB$237,1+T7,FALSE)</f>
        <v>843421</v>
      </c>
    </row>
    <row r="13" spans="1:20" x14ac:dyDescent="0.35">
      <c r="B13">
        <v>2020</v>
      </c>
      <c r="C13" s="10">
        <f>VLOOKUP("Grand Total",'[1]2 2020 Data'!$C$7:$AB$236,1+'[1]3 Results'!C$4,FALSE)</f>
        <v>814625</v>
      </c>
      <c r="D13" s="10">
        <f>VLOOKUP("Grand Total",'[1]2 2020 Data'!$C$7:$AB$236,1+'[1]3 Results'!D$4,FALSE)</f>
        <v>806924</v>
      </c>
      <c r="E13" s="10">
        <f>VLOOKUP("Grand Total",'[1]2 2020 Data'!$C$7:$AB$236,1+'[1]3 Results'!E$4,FALSE)</f>
        <v>806505</v>
      </c>
      <c r="F13" s="10">
        <f>VLOOKUP("Grand Total",'[1]2 2020 Data'!$C$7:$AB$236,1+'[1]3 Results'!F$4,FALSE)</f>
        <v>805881</v>
      </c>
      <c r="G13" s="10">
        <f>VLOOKUP("Grand Total",'[1]2 2020 Data'!$C$7:$AB$236,1+'[1]3 Results'!G$4,FALSE)</f>
        <v>775141</v>
      </c>
      <c r="H13" s="10">
        <f>VLOOKUP("Grand Total",'[1]2 2020 Data'!$C$7:$AB$236,1+'[1]3 Results'!H$4,FALSE)</f>
        <v>732120</v>
      </c>
      <c r="I13" s="10">
        <f>VLOOKUP("Grand Total",'[1]2 2020 Data'!$C$7:$AB$236,1+'[1]3 Results'!I$4,FALSE)</f>
        <v>728408</v>
      </c>
      <c r="J13" s="10">
        <f>VLOOKUP("Grand Total",'[1]2 2020 Data'!$C$7:$AB$236,1+'[1]3 Results'!J$4,FALSE)</f>
        <v>734927</v>
      </c>
      <c r="K13" s="10">
        <f>VLOOKUP("Grand Total",'[1]2 2020 Data'!$C$7:$AB$236,1+'[1]3 Results'!K$4,FALSE)</f>
        <v>756880</v>
      </c>
      <c r="L13" s="10">
        <f>VLOOKUP("Grand Total",'[1]2 2020 Data'!$C$7:$AB$236,1+'[1]3 Results'!L$4,FALSE)</f>
        <v>743169</v>
      </c>
      <c r="M13" s="10">
        <f>VLOOKUP("Grand Total",'[1]2 2020 Data'!$C$7:$AB$236,1+'[1]3 Results'!M$4,FALSE)</f>
        <v>720239</v>
      </c>
      <c r="N13" s="10">
        <f>VLOOKUP("Grand Total",'[1]2 2020 Data'!$C$7:$AB$236,1+'[1]3 Results'!N$4,FALSE)</f>
        <v>584116</v>
      </c>
      <c r="O13" s="10">
        <f>VLOOKUP("Grand Total",'[1]2 2020 Data'!$C$7:$AB$236,1+'[1]3 Results'!O$4,FALSE)</f>
        <v>437769</v>
      </c>
      <c r="P13" s="10">
        <f>VLOOKUP("Grand Total",'[1]2 2020 Data'!$C$7:$AB$236,1+'[1]3 Results'!P$4,FALSE)</f>
        <v>343431</v>
      </c>
      <c r="Q13" s="10">
        <f>VLOOKUP("Grand Total",'[1]2 2020 Data'!$C$7:$AB$236,1+'[1]3 Results'!Q$4,FALSE)</f>
        <v>292418</v>
      </c>
      <c r="R13" s="10">
        <f>VLOOKUP("Grand Total",'[1]2 2020 Data'!$C$7:$AB$236,1+'[1]3 Results'!R$4,FALSE)</f>
        <v>276965</v>
      </c>
      <c r="S13" s="10">
        <f>VLOOKUP("Grand Total",'[1]2 2020 Data'!$C$7:$AB$236,1+'[1]3 Results'!S$4,FALSE)</f>
        <v>279754</v>
      </c>
      <c r="T13" s="10">
        <f>VLOOKUP("Grand Total",'[1]2 2020 Data'!$C$7:$AB$236,1+'[1]3 Results'!T$4,FALSE)</f>
        <v>253691</v>
      </c>
    </row>
    <row r="14" spans="1:20" x14ac:dyDescent="0.35">
      <c r="C14" s="11">
        <f>C13/C12-1</f>
        <v>1.4701889086248254E-2</v>
      </c>
      <c r="D14" s="11">
        <f t="shared" ref="D14:T14" si="1">D13/D12-1</f>
        <v>1.2705823293172713E-2</v>
      </c>
      <c r="E14" s="11">
        <f t="shared" si="1"/>
        <v>4.8466574883350155E-3</v>
      </c>
      <c r="F14" s="11">
        <f t="shared" si="1"/>
        <v>1.5746681017232422E-3</v>
      </c>
      <c r="G14" s="11">
        <f t="shared" si="1"/>
        <v>-3.5911066225215005E-2</v>
      </c>
      <c r="H14" s="11">
        <f t="shared" si="1"/>
        <v>-9.9399205829819315E-2</v>
      </c>
      <c r="I14" s="11">
        <f t="shared" si="1"/>
        <v>-0.1073278218008642</v>
      </c>
      <c r="J14" s="11">
        <f t="shared" si="1"/>
        <v>-0.10101332589607903</v>
      </c>
      <c r="K14" s="11">
        <f t="shared" si="1"/>
        <v>-7.9269575922427449E-2</v>
      </c>
      <c r="L14" s="11">
        <f t="shared" si="1"/>
        <v>-0.10084136302261537</v>
      </c>
      <c r="M14" s="11">
        <f t="shared" si="1"/>
        <v>-0.12388636684329091</v>
      </c>
      <c r="N14" s="11">
        <f t="shared" si="1"/>
        <v>-0.28713050121615302</v>
      </c>
      <c r="O14" s="11">
        <f t="shared" si="1"/>
        <v>-0.47658577762048471</v>
      </c>
      <c r="P14" s="11">
        <f t="shared" si="1"/>
        <v>-0.5918391844176033</v>
      </c>
      <c r="Q14" s="11">
        <f t="shared" si="1"/>
        <v>-0.64944026585274039</v>
      </c>
      <c r="R14" s="11">
        <f t="shared" si="1"/>
        <v>-0.67158482126976371</v>
      </c>
      <c r="S14" s="11">
        <f t="shared" si="1"/>
        <v>-0.66833789572147184</v>
      </c>
      <c r="T14" s="11">
        <f t="shared" si="1"/>
        <v>-0.69921190010682688</v>
      </c>
    </row>
    <row r="15" spans="1:20" x14ac:dyDescent="0.35">
      <c r="C15" s="10"/>
      <c r="D15" s="10"/>
      <c r="E15" s="10"/>
      <c r="F15" s="10"/>
      <c r="G15" s="10"/>
      <c r="H15" s="10"/>
      <c r="I15" s="10"/>
      <c r="J15" s="10"/>
      <c r="K15" s="10"/>
      <c r="L15" s="12"/>
      <c r="M15" s="13"/>
    </row>
    <row r="16" spans="1:20" x14ac:dyDescent="0.35">
      <c r="C16" s="7">
        <f>C$8</f>
        <v>43836</v>
      </c>
      <c r="D16" s="7">
        <f t="shared" ref="D16:T16" si="2">D$8</f>
        <v>43843</v>
      </c>
      <c r="E16" s="7">
        <f t="shared" si="2"/>
        <v>43850</v>
      </c>
      <c r="F16" s="7">
        <f t="shared" si="2"/>
        <v>43857</v>
      </c>
      <c r="G16" s="7">
        <f t="shared" si="2"/>
        <v>43864</v>
      </c>
      <c r="H16" s="7">
        <f t="shared" si="2"/>
        <v>43871</v>
      </c>
      <c r="I16" s="7">
        <f t="shared" si="2"/>
        <v>43878</v>
      </c>
      <c r="J16" s="7">
        <f t="shared" si="2"/>
        <v>43885</v>
      </c>
      <c r="K16" s="7">
        <f t="shared" si="2"/>
        <v>43892</v>
      </c>
      <c r="L16" s="7">
        <f t="shared" si="2"/>
        <v>43899</v>
      </c>
      <c r="M16" s="7">
        <f t="shared" si="2"/>
        <v>43906</v>
      </c>
      <c r="N16" s="7">
        <f t="shared" si="2"/>
        <v>43913</v>
      </c>
      <c r="O16" s="7">
        <f t="shared" si="2"/>
        <v>43920</v>
      </c>
      <c r="P16" s="7">
        <f t="shared" si="2"/>
        <v>43927</v>
      </c>
      <c r="Q16" s="7">
        <f t="shared" si="2"/>
        <v>43934</v>
      </c>
      <c r="R16" s="7">
        <f t="shared" si="2"/>
        <v>43941</v>
      </c>
      <c r="S16" s="7">
        <f t="shared" si="2"/>
        <v>43948</v>
      </c>
      <c r="T16" s="7">
        <f t="shared" si="2"/>
        <v>43955</v>
      </c>
    </row>
    <row r="17" spans="1:20" x14ac:dyDescent="0.35">
      <c r="A17" t="s">
        <v>6</v>
      </c>
      <c r="B17">
        <v>2019</v>
      </c>
      <c r="C17" s="10">
        <f>VLOOKUP($A17,'[1]2 2019 Data'!$C$7:$AB$237,1+'[1]3 Results'!C$4,FALSE)</f>
        <v>14934</v>
      </c>
      <c r="D17" s="10">
        <f>VLOOKUP($A17,'[1]2 2019 Data'!$C$7:$AB$237,1+'[1]3 Results'!D$4,FALSE)</f>
        <v>14513</v>
      </c>
      <c r="E17" s="10">
        <f>VLOOKUP($A17,'[1]2 2019 Data'!$C$7:$AB$237,1+'[1]3 Results'!E$4,FALSE)</f>
        <v>14525</v>
      </c>
      <c r="F17" s="10">
        <f>VLOOKUP($A17,'[1]2 2019 Data'!$C$7:$AB$237,1+'[1]3 Results'!F$4,FALSE)</f>
        <v>14605</v>
      </c>
      <c r="G17" s="10">
        <f>VLOOKUP($A17,'[1]2 2019 Data'!$C$7:$AB$237,1+'[1]3 Results'!G$4,FALSE)</f>
        <v>14823</v>
      </c>
      <c r="H17" s="10">
        <f>VLOOKUP($A17,'[1]2 2019 Data'!$C$7:$AB$237,1+'[1]3 Results'!H$4,FALSE)</f>
        <v>15179</v>
      </c>
      <c r="I17" s="10">
        <f>VLOOKUP($A17,'[1]2 2019 Data'!$C$7:$AB$237,1+'[1]3 Results'!I$4,FALSE)</f>
        <v>15394</v>
      </c>
      <c r="J17" s="10">
        <f>VLOOKUP($A17,'[1]2 2019 Data'!$C$7:$AB$237,1+'[1]3 Results'!J$4,FALSE)</f>
        <v>15861</v>
      </c>
      <c r="K17" s="10">
        <f>VLOOKUP($A17,'[1]2 2019 Data'!$C$7:$AB$237,1+'[1]3 Results'!K$4,FALSE)</f>
        <v>15903</v>
      </c>
      <c r="L17" s="10">
        <f>VLOOKUP($A17,'[1]2 2019 Data'!$C$7:$AB$237,1+'[1]3 Results'!L$4,FALSE)</f>
        <v>15842</v>
      </c>
      <c r="M17" s="10">
        <f>VLOOKUP($A17,'[1]2 2019 Data'!$C$7:$AB$237,1+'[1]3 Results'!M$4,FALSE)</f>
        <v>15818</v>
      </c>
      <c r="N17" s="10">
        <f>VLOOKUP($A17,'[1]2 2019 Data'!$C$7:$AB$237,1+'[1]3 Results'!N$4,FALSE)</f>
        <v>16008</v>
      </c>
      <c r="O17" s="10">
        <f>VLOOKUP($A17,'[1]2 2019 Data'!$C$7:$AB$237,1+'[1]3 Results'!O$4,FALSE)</f>
        <v>18445</v>
      </c>
      <c r="P17" s="10">
        <f>VLOOKUP($A17,'[1]2 2019 Data'!$C$7:$AB$237,1+'[1]3 Results'!P$4,FALSE)</f>
        <v>18981</v>
      </c>
      <c r="Q17" s="10">
        <f>VLOOKUP($A17,'[1]2 2019 Data'!$C$7:$AB$237,1+'[1]3 Results'!Q$4,FALSE)</f>
        <v>19114</v>
      </c>
      <c r="R17" s="10">
        <f>VLOOKUP($A17,'[1]2 2019 Data'!$C$7:$AB$237,1+'[1]3 Results'!R$4,FALSE)</f>
        <v>19417</v>
      </c>
      <c r="S17" s="10">
        <f>VLOOKUP($A17,'[1]2 2019 Data'!$C$7:$AB$237,1+'[1]3 Results'!S$4,FALSE)</f>
        <v>19313</v>
      </c>
      <c r="T17" s="10">
        <f>VLOOKUP($A17,'[1]2 2019 Data'!$C$7:$AB$237,1+'[1]3 Results'!T$4,FALSE)</f>
        <v>19519</v>
      </c>
    </row>
    <row r="18" spans="1:20" x14ac:dyDescent="0.35">
      <c r="B18">
        <v>2020</v>
      </c>
      <c r="C18" s="10">
        <f>VLOOKUP($A17,'[1]2 2020 Data'!$C$7:$AB$236,1+'[1]3 Results'!C$4,FALSE)</f>
        <v>14763</v>
      </c>
      <c r="D18" s="10">
        <f>VLOOKUP($A17,'[1]2 2020 Data'!$C$7:$AB$236,1+'[1]3 Results'!D$4,FALSE)</f>
        <v>13842</v>
      </c>
      <c r="E18" s="10">
        <f>VLOOKUP($A17,'[1]2 2020 Data'!$C$7:$AB$236,1+'[1]3 Results'!E$4,FALSE)</f>
        <v>13830</v>
      </c>
      <c r="F18" s="10">
        <f>VLOOKUP($A17,'[1]2 2020 Data'!$C$7:$AB$236,1+'[1]3 Results'!F$4,FALSE)</f>
        <v>13946</v>
      </c>
      <c r="G18" s="10">
        <f>VLOOKUP($A17,'[1]2 2020 Data'!$C$7:$AB$236,1+'[1]3 Results'!G$4,FALSE)</f>
        <v>14260</v>
      </c>
      <c r="H18" s="10">
        <f>VLOOKUP($A17,'[1]2 2020 Data'!$C$7:$AB$236,1+'[1]3 Results'!H$4,FALSE)</f>
        <v>14795</v>
      </c>
      <c r="I18" s="10">
        <f>VLOOKUP($A17,'[1]2 2020 Data'!$C$7:$AB$236,1+'[1]3 Results'!I$4,FALSE)</f>
        <v>15486</v>
      </c>
      <c r="J18" s="10">
        <f>VLOOKUP($A17,'[1]2 2020 Data'!$C$7:$AB$236,1+'[1]3 Results'!J$4,FALSE)</f>
        <v>15604</v>
      </c>
      <c r="K18" s="10">
        <f>VLOOKUP($A17,'[1]2 2020 Data'!$C$7:$AB$236,1+'[1]3 Results'!K$4,FALSE)</f>
        <v>15673</v>
      </c>
      <c r="L18" s="10">
        <f>VLOOKUP($A17,'[1]2 2020 Data'!$C$7:$AB$236,1+'[1]3 Results'!L$4,FALSE)</f>
        <v>15386</v>
      </c>
      <c r="M18" s="10">
        <f>VLOOKUP($A17,'[1]2 2020 Data'!$C$7:$AB$236,1+'[1]3 Results'!M$4,FALSE)</f>
        <v>13647</v>
      </c>
      <c r="N18" s="10">
        <f>VLOOKUP($A17,'[1]2 2020 Data'!$C$7:$AB$236,1+'[1]3 Results'!N$4,FALSE)</f>
        <v>4111</v>
      </c>
      <c r="O18" s="10">
        <f>VLOOKUP($A17,'[1]2 2020 Data'!$C$7:$AB$236,1+'[1]3 Results'!O$4,FALSE)</f>
        <v>2124</v>
      </c>
      <c r="P18" s="10">
        <f>VLOOKUP($A17,'[1]2 2020 Data'!$C$7:$AB$236,1+'[1]3 Results'!P$4,FALSE)</f>
        <v>1408</v>
      </c>
      <c r="Q18" s="10">
        <f>VLOOKUP($A17,'[1]2 2020 Data'!$C$7:$AB$236,1+'[1]3 Results'!Q$4,FALSE)</f>
        <v>1100</v>
      </c>
      <c r="R18" s="10">
        <f>VLOOKUP($A17,'[1]2 2020 Data'!$C$7:$AB$236,1+'[1]3 Results'!R$4,FALSE)</f>
        <v>959</v>
      </c>
      <c r="S18" s="10">
        <f>VLOOKUP($A17,'[1]2 2020 Data'!$C$7:$AB$236,1+'[1]3 Results'!S$4,FALSE)</f>
        <v>1132</v>
      </c>
      <c r="T18" s="10">
        <f>VLOOKUP($A17,'[1]2 2020 Data'!$C$7:$AB$236,1+'[1]3 Results'!T$4,FALSE)</f>
        <v>1506</v>
      </c>
    </row>
    <row r="19" spans="1:20" x14ac:dyDescent="0.35">
      <c r="C19" s="11">
        <f>C18/C17-1</f>
        <v>-1.1450381679389277E-2</v>
      </c>
      <c r="D19" s="11">
        <f t="shared" ref="D19:T19" si="3">D18/D17-1</f>
        <v>-4.6234410528491643E-2</v>
      </c>
      <c r="E19" s="11">
        <f t="shared" si="3"/>
        <v>-4.7848537005163561E-2</v>
      </c>
      <c r="F19" s="11">
        <f t="shared" si="3"/>
        <v>-4.5121533721328322E-2</v>
      </c>
      <c r="G19" s="11">
        <f t="shared" si="3"/>
        <v>-3.7981515212844874E-2</v>
      </c>
      <c r="H19" s="11">
        <f t="shared" si="3"/>
        <v>-2.5298109229857091E-2</v>
      </c>
      <c r="I19" s="11">
        <f t="shared" si="3"/>
        <v>5.9763544238013999E-3</v>
      </c>
      <c r="J19" s="11">
        <f t="shared" si="3"/>
        <v>-1.6203265872265282E-2</v>
      </c>
      <c r="K19" s="11">
        <f t="shared" si="3"/>
        <v>-1.446267999748474E-2</v>
      </c>
      <c r="L19" s="11">
        <f t="shared" si="3"/>
        <v>-2.8784244413584181E-2</v>
      </c>
      <c r="M19" s="11">
        <f t="shared" si="3"/>
        <v>-0.13724870400809208</v>
      </c>
      <c r="N19" s="11">
        <f t="shared" si="3"/>
        <v>-0.74319090454772607</v>
      </c>
      <c r="O19" s="11">
        <f t="shared" si="3"/>
        <v>-0.88484684196259145</v>
      </c>
      <c r="P19" s="11">
        <f t="shared" si="3"/>
        <v>-0.92582055739950475</v>
      </c>
      <c r="Q19" s="11">
        <f t="shared" si="3"/>
        <v>-0.94245055979910008</v>
      </c>
      <c r="R19" s="11">
        <f t="shared" si="3"/>
        <v>-0.95061028995210384</v>
      </c>
      <c r="S19" s="11">
        <f t="shared" si="3"/>
        <v>-0.94138663076684104</v>
      </c>
      <c r="T19" s="11">
        <f t="shared" si="3"/>
        <v>-0.92284440801270562</v>
      </c>
    </row>
    <row r="20" spans="1:20" x14ac:dyDescent="0.35">
      <c r="C20" s="10"/>
      <c r="D20" s="10"/>
      <c r="E20" s="10"/>
      <c r="F20" s="10"/>
      <c r="G20" s="10"/>
      <c r="H20" s="10"/>
      <c r="I20" s="10"/>
      <c r="J20" s="10"/>
      <c r="K20" s="10"/>
      <c r="L20" s="12"/>
      <c r="M20" s="13"/>
    </row>
    <row r="21" spans="1:20" x14ac:dyDescent="0.35">
      <c r="C21" s="7">
        <f>C$8</f>
        <v>43836</v>
      </c>
      <c r="D21" s="7">
        <f t="shared" ref="D21:T21" si="4">D$8</f>
        <v>43843</v>
      </c>
      <c r="E21" s="7">
        <f t="shared" si="4"/>
        <v>43850</v>
      </c>
      <c r="F21" s="7">
        <f t="shared" si="4"/>
        <v>43857</v>
      </c>
      <c r="G21" s="7">
        <f t="shared" si="4"/>
        <v>43864</v>
      </c>
      <c r="H21" s="7">
        <f t="shared" si="4"/>
        <v>43871</v>
      </c>
      <c r="I21" s="7">
        <f t="shared" si="4"/>
        <v>43878</v>
      </c>
      <c r="J21" s="7">
        <f t="shared" si="4"/>
        <v>43885</v>
      </c>
      <c r="K21" s="7">
        <f t="shared" si="4"/>
        <v>43892</v>
      </c>
      <c r="L21" s="7">
        <f t="shared" si="4"/>
        <v>43899</v>
      </c>
      <c r="M21" s="7">
        <f t="shared" si="4"/>
        <v>43906</v>
      </c>
      <c r="N21" s="7">
        <f t="shared" si="4"/>
        <v>43913</v>
      </c>
      <c r="O21" s="7">
        <f t="shared" si="4"/>
        <v>43920</v>
      </c>
      <c r="P21" s="7">
        <f t="shared" si="4"/>
        <v>43927</v>
      </c>
      <c r="Q21" s="7">
        <f t="shared" si="4"/>
        <v>43934</v>
      </c>
      <c r="R21" s="7">
        <f t="shared" si="4"/>
        <v>43941</v>
      </c>
      <c r="S21" s="7">
        <f t="shared" si="4"/>
        <v>43948</v>
      </c>
      <c r="T21" s="7">
        <f t="shared" si="4"/>
        <v>43955</v>
      </c>
    </row>
    <row r="22" spans="1:20" x14ac:dyDescent="0.35">
      <c r="A22" t="s">
        <v>7</v>
      </c>
      <c r="B22">
        <v>2019</v>
      </c>
      <c r="C22" s="10">
        <f>VLOOKUP("Hong Kong (sar) China",'[1]2 2019 Data'!$C$7:$AB$237,1+'[1]3 Results'!C$4,FALSE)</f>
        <v>3726</v>
      </c>
      <c r="D22" s="10">
        <f>VLOOKUP("Hong Kong (sar) China",'[1]2 2019 Data'!$C$7:$AB$237,1+'[1]3 Results'!D$4,FALSE)</f>
        <v>3733</v>
      </c>
      <c r="E22" s="10">
        <f>VLOOKUP("Hong Kong (sar) China",'[1]2 2019 Data'!$C$7:$AB$237,1+'[1]3 Results'!E$4,FALSE)</f>
        <v>3768</v>
      </c>
      <c r="F22" s="10">
        <f>VLOOKUP("Hong Kong (sar) China",'[1]2 2019 Data'!$C$7:$AB$237,1+'[1]3 Results'!F$4,FALSE)</f>
        <v>3813</v>
      </c>
      <c r="G22" s="10">
        <f>VLOOKUP("Hong Kong (sar) China",'[1]2 2019 Data'!$C$7:$AB$237,1+'[1]3 Results'!G$4,FALSE)</f>
        <v>3810</v>
      </c>
      <c r="H22" s="10">
        <f>VLOOKUP("Hong Kong (sar) China",'[1]2 2019 Data'!$C$7:$AB$237,1+'[1]3 Results'!H$4,FALSE)</f>
        <v>3818</v>
      </c>
      <c r="I22" s="10">
        <f>VLOOKUP("Hong Kong (sar) China",'[1]2 2019 Data'!$C$7:$AB$237,1+'[1]3 Results'!I$4,FALSE)</f>
        <v>3763</v>
      </c>
      <c r="J22" s="10">
        <f>VLOOKUP("Hong Kong (sar) China",'[1]2 2019 Data'!$C$7:$AB$237,1+'[1]3 Results'!J$4,FALSE)</f>
        <v>3752</v>
      </c>
      <c r="K22" s="10">
        <f>VLOOKUP("Hong Kong (sar) China",'[1]2 2019 Data'!$C$7:$AB$237,1+'[1]3 Results'!K$4,FALSE)</f>
        <v>3701</v>
      </c>
      <c r="L22" s="10">
        <f>VLOOKUP("Hong Kong (sar) China",'[1]2 2019 Data'!$C$7:$AB$237,1+'[1]3 Results'!L$4,FALSE)</f>
        <v>3723</v>
      </c>
      <c r="M22" s="10">
        <f>VLOOKUP("Hong Kong (sar) China",'[1]2 2019 Data'!$C$7:$AB$237,1+'[1]3 Results'!M$4,FALSE)</f>
        <v>3737</v>
      </c>
      <c r="N22" s="10">
        <f>VLOOKUP("Hong Kong (sar) China",'[1]2 2019 Data'!$C$7:$AB$237,1+'[1]3 Results'!N$4,FALSE)</f>
        <v>3744</v>
      </c>
      <c r="O22" s="10">
        <f>VLOOKUP("Hong Kong (sar) China",'[1]2 2019 Data'!$C$7:$AB$237,1+'[1]3 Results'!O$4,FALSE)</f>
        <v>3748</v>
      </c>
      <c r="P22" s="10">
        <f>VLOOKUP("Hong Kong (sar) China",'[1]2 2019 Data'!$C$7:$AB$237,1+'[1]3 Results'!P$4,FALSE)</f>
        <v>3740</v>
      </c>
      <c r="Q22" s="10">
        <f>VLOOKUP("Hong Kong (sar) China",'[1]2 2019 Data'!$C$7:$AB$237,1+'[1]3 Results'!Q$4,FALSE)</f>
        <v>3775</v>
      </c>
      <c r="R22" s="10">
        <f>VLOOKUP("Hong Kong (sar) China",'[1]2 2019 Data'!$C$7:$AB$237,1+'[1]3 Results'!R$4,FALSE)</f>
        <v>3793</v>
      </c>
      <c r="S22" s="10">
        <f>VLOOKUP("Hong Kong (sar) China",'[1]2 2019 Data'!$C$7:$AB$237,1+'[1]3 Results'!S$4,FALSE)</f>
        <v>3786</v>
      </c>
      <c r="T22" s="10">
        <f>VLOOKUP("Hong Kong (sar) China",'[1]2 2019 Data'!$C$7:$AB$237,1+'[1]3 Results'!T$4,FALSE)</f>
        <v>3725</v>
      </c>
    </row>
    <row r="23" spans="1:20" x14ac:dyDescent="0.35">
      <c r="B23">
        <v>2020</v>
      </c>
      <c r="C23" s="10">
        <f>VLOOKUP("Hong Kong (sar) China",'[1]2 2020 Data'!$C$7:$AB$236,1+'[1]3 Results'!C$4,FALSE)</f>
        <v>3306</v>
      </c>
      <c r="D23" s="10">
        <f>VLOOKUP("Hong Kong (sar) China",'[1]2 2020 Data'!$C$7:$AB$236,1+'[1]3 Results'!D$4,FALSE)</f>
        <v>3331</v>
      </c>
      <c r="E23" s="10">
        <f>VLOOKUP("Hong Kong (sar) China",'[1]2 2020 Data'!$C$7:$AB$236,1+'[1]3 Results'!E$4,FALSE)</f>
        <v>3467</v>
      </c>
      <c r="F23" s="10">
        <f>VLOOKUP("Hong Kong (sar) China",'[1]2 2020 Data'!$C$7:$AB$236,1+'[1]3 Results'!F$4,FALSE)</f>
        <v>3480</v>
      </c>
      <c r="G23" s="10">
        <f>VLOOKUP("Hong Kong (sar) China",'[1]2 2020 Data'!$C$7:$AB$236,1+'[1]3 Results'!G$4,FALSE)</f>
        <v>3025</v>
      </c>
      <c r="H23" s="10">
        <f>VLOOKUP("Hong Kong (sar) China",'[1]2 2020 Data'!$C$7:$AB$236,1+'[1]3 Results'!H$4,FALSE)</f>
        <v>2113</v>
      </c>
      <c r="I23" s="10">
        <f>VLOOKUP("Hong Kong (sar) China",'[1]2 2020 Data'!$C$7:$AB$236,1+'[1]3 Results'!I$4,FALSE)</f>
        <v>1590</v>
      </c>
      <c r="J23" s="10">
        <f>VLOOKUP("Hong Kong (sar) China",'[1]2 2020 Data'!$C$7:$AB$236,1+'[1]3 Results'!J$4,FALSE)</f>
        <v>1376</v>
      </c>
      <c r="K23" s="10">
        <f>VLOOKUP("Hong Kong (sar) China",'[1]2 2020 Data'!$C$7:$AB$236,1+'[1]3 Results'!K$4,FALSE)</f>
        <v>1096</v>
      </c>
      <c r="L23" s="10">
        <f>VLOOKUP("Hong Kong (sar) China",'[1]2 2020 Data'!$C$7:$AB$236,1+'[1]3 Results'!L$4,FALSE)</f>
        <v>836</v>
      </c>
      <c r="M23" s="10">
        <f>VLOOKUP("Hong Kong (sar) China",'[1]2 2020 Data'!$C$7:$AB$236,1+'[1]3 Results'!M$4,FALSE)</f>
        <v>719</v>
      </c>
      <c r="N23" s="10">
        <f>VLOOKUP("Hong Kong (sar) China",'[1]2 2020 Data'!$C$7:$AB$236,1+'[1]3 Results'!N$4,FALSE)</f>
        <v>687</v>
      </c>
      <c r="O23" s="10">
        <f>VLOOKUP("Hong Kong (sar) China",'[1]2 2020 Data'!$C$7:$AB$236,1+'[1]3 Results'!O$4,FALSE)</f>
        <v>440</v>
      </c>
      <c r="P23" s="10">
        <f>VLOOKUP("Hong Kong (sar) China",'[1]2 2020 Data'!$C$7:$AB$236,1+'[1]3 Results'!P$4,FALSE)</f>
        <v>289</v>
      </c>
      <c r="Q23" s="10">
        <f>VLOOKUP("Hong Kong (sar) China",'[1]2 2020 Data'!$C$7:$AB$236,1+'[1]3 Results'!Q$4,FALSE)</f>
        <v>220</v>
      </c>
      <c r="R23" s="10">
        <f>VLOOKUP("Hong Kong (sar) China",'[1]2 2020 Data'!$C$7:$AB$236,1+'[1]3 Results'!R$4,FALSE)</f>
        <v>209</v>
      </c>
      <c r="S23" s="10">
        <f>VLOOKUP("Hong Kong (sar) China",'[1]2 2020 Data'!$C$7:$AB$236,1+'[1]3 Results'!S$4,FALSE)</f>
        <v>259</v>
      </c>
      <c r="T23" s="10">
        <f>VLOOKUP("Hong Kong (sar) China",'[1]2 2020 Data'!$C$7:$AB$236,1+'[1]3 Results'!T$4,FALSE)</f>
        <v>240</v>
      </c>
    </row>
    <row r="24" spans="1:20" x14ac:dyDescent="0.35">
      <c r="C24" s="11">
        <f>C23/C22-1</f>
        <v>-0.1127214170692431</v>
      </c>
      <c r="D24" s="11">
        <f t="shared" ref="D24:T24" si="5">D23/D22-1</f>
        <v>-0.10768818644521827</v>
      </c>
      <c r="E24" s="11">
        <f t="shared" si="5"/>
        <v>-7.9883227176220761E-2</v>
      </c>
      <c r="F24" s="11">
        <f t="shared" si="5"/>
        <v>-8.733280881195904E-2</v>
      </c>
      <c r="G24" s="11">
        <f t="shared" si="5"/>
        <v>-0.20603674540682415</v>
      </c>
      <c r="H24" s="11">
        <f t="shared" si="5"/>
        <v>-0.44656888423258245</v>
      </c>
      <c r="I24" s="11">
        <f t="shared" si="5"/>
        <v>-0.57746478873239437</v>
      </c>
      <c r="J24" s="11">
        <f t="shared" si="5"/>
        <v>-0.63326226012793174</v>
      </c>
      <c r="K24" s="11">
        <f t="shared" si="5"/>
        <v>-0.70386382058902996</v>
      </c>
      <c r="L24" s="11">
        <f t="shared" si="5"/>
        <v>-0.77544990598979324</v>
      </c>
      <c r="M24" s="11">
        <f t="shared" si="5"/>
        <v>-0.80759967888680761</v>
      </c>
      <c r="N24" s="11">
        <f t="shared" si="5"/>
        <v>-0.81650641025641024</v>
      </c>
      <c r="O24" s="11">
        <f t="shared" si="5"/>
        <v>-0.88260405549626464</v>
      </c>
      <c r="P24" s="11">
        <f t="shared" si="5"/>
        <v>-0.92272727272727273</v>
      </c>
      <c r="Q24" s="11">
        <f t="shared" si="5"/>
        <v>-0.94172185430463573</v>
      </c>
      <c r="R24" s="11">
        <f t="shared" si="5"/>
        <v>-0.94489849723174268</v>
      </c>
      <c r="S24" s="11">
        <f t="shared" si="5"/>
        <v>-0.93159006867406235</v>
      </c>
      <c r="T24" s="11">
        <f t="shared" si="5"/>
        <v>-0.93557046979865777</v>
      </c>
    </row>
    <row r="25" spans="1:20" x14ac:dyDescent="0.35"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35">
      <c r="C26" s="7">
        <f>C$8</f>
        <v>43836</v>
      </c>
      <c r="D26" s="7">
        <f t="shared" ref="D26:T26" si="6">D$8</f>
        <v>43843</v>
      </c>
      <c r="E26" s="7">
        <f t="shared" si="6"/>
        <v>43850</v>
      </c>
      <c r="F26" s="7">
        <f t="shared" si="6"/>
        <v>43857</v>
      </c>
      <c r="G26" s="7">
        <f t="shared" si="6"/>
        <v>43864</v>
      </c>
      <c r="H26" s="7">
        <f t="shared" si="6"/>
        <v>43871</v>
      </c>
      <c r="I26" s="7">
        <f t="shared" si="6"/>
        <v>43878</v>
      </c>
      <c r="J26" s="7">
        <f t="shared" si="6"/>
        <v>43885</v>
      </c>
      <c r="K26" s="7">
        <f t="shared" si="6"/>
        <v>43892</v>
      </c>
      <c r="L26" s="7">
        <f t="shared" si="6"/>
        <v>43899</v>
      </c>
      <c r="M26" s="7">
        <f t="shared" si="6"/>
        <v>43906</v>
      </c>
      <c r="N26" s="7">
        <f t="shared" si="6"/>
        <v>43913</v>
      </c>
      <c r="O26" s="7">
        <f t="shared" si="6"/>
        <v>43920</v>
      </c>
      <c r="P26" s="7">
        <f t="shared" si="6"/>
        <v>43927</v>
      </c>
      <c r="Q26" s="7">
        <f t="shared" si="6"/>
        <v>43934</v>
      </c>
      <c r="R26" s="7">
        <f t="shared" si="6"/>
        <v>43941</v>
      </c>
      <c r="S26" s="7">
        <f t="shared" si="6"/>
        <v>43948</v>
      </c>
      <c r="T26" s="7">
        <f t="shared" si="6"/>
        <v>43955</v>
      </c>
    </row>
    <row r="27" spans="1:20" x14ac:dyDescent="0.35">
      <c r="A27" t="s">
        <v>8</v>
      </c>
      <c r="B27">
        <v>2019</v>
      </c>
      <c r="C27" s="10">
        <f>VLOOKUP($A27,'[1]2 2019 Data'!$C$7:$AB$237,1+'[1]3 Results'!C$4,FALSE)</f>
        <v>16738</v>
      </c>
      <c r="D27" s="10">
        <f>VLOOKUP($A27,'[1]2 2019 Data'!$C$7:$AB$237,1+'[1]3 Results'!D$4,FALSE)</f>
        <v>16713</v>
      </c>
      <c r="E27" s="10">
        <f>VLOOKUP($A27,'[1]2 2019 Data'!$C$7:$AB$237,1+'[1]3 Results'!E$4,FALSE)</f>
        <v>16766</v>
      </c>
      <c r="F27" s="10">
        <f>VLOOKUP($A27,'[1]2 2019 Data'!$C$7:$AB$237,1+'[1]3 Results'!F$4,FALSE)</f>
        <v>16962</v>
      </c>
      <c r="G27" s="10">
        <f>VLOOKUP($A27,'[1]2 2019 Data'!$C$7:$AB$237,1+'[1]3 Results'!G$4,FALSE)</f>
        <v>17160</v>
      </c>
      <c r="H27" s="10">
        <f>VLOOKUP($A27,'[1]2 2019 Data'!$C$7:$AB$237,1+'[1]3 Results'!H$4,FALSE)</f>
        <v>17576</v>
      </c>
      <c r="I27" s="10">
        <f>VLOOKUP($A27,'[1]2 2019 Data'!$C$7:$AB$237,1+'[1]3 Results'!I$4,FALSE)</f>
        <v>17565</v>
      </c>
      <c r="J27" s="10">
        <f>VLOOKUP($A27,'[1]2 2019 Data'!$C$7:$AB$237,1+'[1]3 Results'!J$4,FALSE)</f>
        <v>17558</v>
      </c>
      <c r="K27" s="10">
        <f>VLOOKUP($A27,'[1]2 2019 Data'!$C$7:$AB$237,1+'[1]3 Results'!K$4,FALSE)</f>
        <v>17622</v>
      </c>
      <c r="L27" s="10">
        <f>VLOOKUP($A27,'[1]2 2019 Data'!$C$7:$AB$237,1+'[1]3 Results'!L$4,FALSE)</f>
        <v>17616</v>
      </c>
      <c r="M27" s="10">
        <f>VLOOKUP($A27,'[1]2 2019 Data'!$C$7:$AB$237,1+'[1]3 Results'!M$4,FALSE)</f>
        <v>17587</v>
      </c>
      <c r="N27" s="10">
        <f>VLOOKUP($A27,'[1]2 2019 Data'!$C$7:$AB$237,1+'[1]3 Results'!N$4,FALSE)</f>
        <v>17793</v>
      </c>
      <c r="O27" s="10">
        <f>VLOOKUP($A27,'[1]2 2019 Data'!$C$7:$AB$237,1+'[1]3 Results'!O$4,FALSE)</f>
        <v>18980</v>
      </c>
      <c r="P27" s="10">
        <f>VLOOKUP($A27,'[1]2 2019 Data'!$C$7:$AB$237,1+'[1]3 Results'!P$4,FALSE)</f>
        <v>19249</v>
      </c>
      <c r="Q27" s="10">
        <f>VLOOKUP($A27,'[1]2 2019 Data'!$C$7:$AB$237,1+'[1]3 Results'!Q$4,FALSE)</f>
        <v>18340</v>
      </c>
      <c r="R27" s="10">
        <f>VLOOKUP($A27,'[1]2 2019 Data'!$C$7:$AB$237,1+'[1]3 Results'!R$4,FALSE)</f>
        <v>18834</v>
      </c>
      <c r="S27" s="10">
        <f>VLOOKUP($A27,'[1]2 2019 Data'!$C$7:$AB$237,1+'[1]3 Results'!S$4,FALSE)</f>
        <v>19349</v>
      </c>
      <c r="T27" s="10">
        <f>VLOOKUP($A27,'[1]2 2019 Data'!$C$7:$AB$237,1+'[1]3 Results'!T$4,FALSE)</f>
        <v>19804</v>
      </c>
    </row>
    <row r="28" spans="1:20" x14ac:dyDescent="0.35">
      <c r="B28">
        <v>2020</v>
      </c>
      <c r="C28" s="10">
        <f>VLOOKUP($A27,'[1]2 2020 Data'!$C$7:$AB$236,1+'[1]3 Results'!C$4,FALSE)</f>
        <v>15303</v>
      </c>
      <c r="D28" s="10">
        <f>VLOOKUP($A27,'[1]2 2020 Data'!$C$7:$AB$236,1+'[1]3 Results'!D$4,FALSE)</f>
        <v>15249</v>
      </c>
      <c r="E28" s="10">
        <f>VLOOKUP($A27,'[1]2 2020 Data'!$C$7:$AB$236,1+'[1]3 Results'!E$4,FALSE)</f>
        <v>15357</v>
      </c>
      <c r="F28" s="10">
        <f>VLOOKUP($A27,'[1]2 2020 Data'!$C$7:$AB$236,1+'[1]3 Results'!F$4,FALSE)</f>
        <v>15528</v>
      </c>
      <c r="G28" s="10">
        <f>VLOOKUP($A27,'[1]2 2020 Data'!$C$7:$AB$236,1+'[1]3 Results'!G$4,FALSE)</f>
        <v>15811</v>
      </c>
      <c r="H28" s="10">
        <f>VLOOKUP($A27,'[1]2 2020 Data'!$C$7:$AB$236,1+'[1]3 Results'!H$4,FALSE)</f>
        <v>16178</v>
      </c>
      <c r="I28" s="10">
        <f>VLOOKUP($A27,'[1]2 2020 Data'!$C$7:$AB$236,1+'[1]3 Results'!I$4,FALSE)</f>
        <v>16411</v>
      </c>
      <c r="J28" s="10">
        <f>VLOOKUP($A27,'[1]2 2020 Data'!$C$7:$AB$236,1+'[1]3 Results'!J$4,FALSE)</f>
        <v>16657</v>
      </c>
      <c r="K28" s="10">
        <f>VLOOKUP($A27,'[1]2 2020 Data'!$C$7:$AB$236,1+'[1]3 Results'!K$4,FALSE)</f>
        <v>16741</v>
      </c>
      <c r="L28" s="10">
        <f>VLOOKUP($A27,'[1]2 2020 Data'!$C$7:$AB$236,1+'[1]3 Results'!L$4,FALSE)</f>
        <v>14907</v>
      </c>
      <c r="M28" s="10">
        <f>VLOOKUP($A27,'[1]2 2020 Data'!$C$7:$AB$236,1+'[1]3 Results'!M$4,FALSE)</f>
        <v>12270</v>
      </c>
      <c r="N28" s="10">
        <f>VLOOKUP($A27,'[1]2 2020 Data'!$C$7:$AB$236,1+'[1]3 Results'!N$4,FALSE)</f>
        <v>5004</v>
      </c>
      <c r="O28" s="10">
        <f>VLOOKUP($A27,'[1]2 2020 Data'!$C$7:$AB$236,1+'[1]3 Results'!O$4,FALSE)</f>
        <v>2171</v>
      </c>
      <c r="P28" s="10">
        <f>VLOOKUP($A27,'[1]2 2020 Data'!$C$7:$AB$236,1+'[1]3 Results'!P$4,FALSE)</f>
        <v>1424</v>
      </c>
      <c r="Q28" s="10">
        <f>VLOOKUP($A27,'[1]2 2020 Data'!$C$7:$AB$236,1+'[1]3 Results'!Q$4,FALSE)</f>
        <v>1384</v>
      </c>
      <c r="R28" s="10">
        <f>VLOOKUP($A27,'[1]2 2020 Data'!$C$7:$AB$236,1+'[1]3 Results'!R$4,FALSE)</f>
        <v>1187</v>
      </c>
      <c r="S28" s="10">
        <f>VLOOKUP($A27,'[1]2 2020 Data'!$C$7:$AB$236,1+'[1]3 Results'!S$4,FALSE)</f>
        <v>1381</v>
      </c>
      <c r="T28" s="10">
        <f>VLOOKUP($A27,'[1]2 2020 Data'!$C$7:$AB$236,1+'[1]3 Results'!T$4,FALSE)</f>
        <v>1886</v>
      </c>
    </row>
    <row r="29" spans="1:20" x14ac:dyDescent="0.35">
      <c r="C29" s="11">
        <f>C28/C27-1</f>
        <v>-8.5733062492531986E-2</v>
      </c>
      <c r="D29" s="11">
        <f t="shared" ref="D29:T29" si="7">D28/D27-1</f>
        <v>-8.7596481780649826E-2</v>
      </c>
      <c r="E29" s="11">
        <f t="shared" si="7"/>
        <v>-8.4039126804246744E-2</v>
      </c>
      <c r="F29" s="11">
        <f t="shared" si="7"/>
        <v>-8.4541917226742092E-2</v>
      </c>
      <c r="G29" s="11">
        <f t="shared" si="7"/>
        <v>-7.8613053613053596E-2</v>
      </c>
      <c r="H29" s="11">
        <f t="shared" si="7"/>
        <v>-7.9540282203004131E-2</v>
      </c>
      <c r="I29" s="11">
        <f t="shared" si="7"/>
        <v>-6.5698832906347815E-2</v>
      </c>
      <c r="J29" s="11">
        <f t="shared" si="7"/>
        <v>-5.1315639594486817E-2</v>
      </c>
      <c r="K29" s="11">
        <f t="shared" si="7"/>
        <v>-4.9994325275224183E-2</v>
      </c>
      <c r="L29" s="11">
        <f t="shared" si="7"/>
        <v>-0.15378065395095364</v>
      </c>
      <c r="M29" s="11">
        <f t="shared" si="7"/>
        <v>-0.30232558139534882</v>
      </c>
      <c r="N29" s="11">
        <f t="shared" si="7"/>
        <v>-0.71876580677794633</v>
      </c>
      <c r="O29" s="11">
        <f t="shared" si="7"/>
        <v>-0.88561643835616444</v>
      </c>
      <c r="P29" s="11">
        <f t="shared" si="7"/>
        <v>-0.92602213101979325</v>
      </c>
      <c r="Q29" s="11">
        <f t="shared" si="7"/>
        <v>-0.92453653217012</v>
      </c>
      <c r="R29" s="11">
        <f t="shared" si="7"/>
        <v>-0.93697568227673356</v>
      </c>
      <c r="S29" s="11">
        <f t="shared" si="7"/>
        <v>-0.92862680241872964</v>
      </c>
      <c r="T29" s="11">
        <f t="shared" si="7"/>
        <v>-0.90476671379519291</v>
      </c>
    </row>
    <row r="30" spans="1:20" x14ac:dyDescent="0.3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x14ac:dyDescent="0.35">
      <c r="C31" s="7">
        <f>C$8</f>
        <v>43836</v>
      </c>
      <c r="D31" s="7">
        <f t="shared" ref="D31:T31" si="8">D$8</f>
        <v>43843</v>
      </c>
      <c r="E31" s="7">
        <f t="shared" si="8"/>
        <v>43850</v>
      </c>
      <c r="F31" s="7">
        <f t="shared" si="8"/>
        <v>43857</v>
      </c>
      <c r="G31" s="7">
        <f t="shared" si="8"/>
        <v>43864</v>
      </c>
      <c r="H31" s="7">
        <f t="shared" si="8"/>
        <v>43871</v>
      </c>
      <c r="I31" s="7">
        <f t="shared" si="8"/>
        <v>43878</v>
      </c>
      <c r="J31" s="7">
        <f t="shared" si="8"/>
        <v>43885</v>
      </c>
      <c r="K31" s="7">
        <f t="shared" si="8"/>
        <v>43892</v>
      </c>
      <c r="L31" s="7">
        <f t="shared" si="8"/>
        <v>43899</v>
      </c>
      <c r="M31" s="7">
        <f t="shared" si="8"/>
        <v>43906</v>
      </c>
      <c r="N31" s="7">
        <f t="shared" si="8"/>
        <v>43913</v>
      </c>
      <c r="O31" s="7">
        <f t="shared" si="8"/>
        <v>43920</v>
      </c>
      <c r="P31" s="7">
        <f t="shared" si="8"/>
        <v>43927</v>
      </c>
      <c r="Q31" s="7">
        <f t="shared" si="8"/>
        <v>43934</v>
      </c>
      <c r="R31" s="7">
        <f t="shared" si="8"/>
        <v>43941</v>
      </c>
      <c r="S31" s="7">
        <f t="shared" si="8"/>
        <v>43948</v>
      </c>
      <c r="T31" s="7">
        <f t="shared" si="8"/>
        <v>43955</v>
      </c>
    </row>
    <row r="32" spans="1:20" x14ac:dyDescent="0.35">
      <c r="A32" t="s">
        <v>9</v>
      </c>
      <c r="B32">
        <v>2019</v>
      </c>
      <c r="C32" s="10">
        <f>VLOOKUP($A32,'[1]2 2019 Data'!$C$7:$AB$237,1+'[1]3 Results'!C$4,FALSE)</f>
        <v>3903</v>
      </c>
      <c r="D32" s="10">
        <f>VLOOKUP($A32,'[1]2 2019 Data'!$C$7:$AB$237,1+'[1]3 Results'!D$4,FALSE)</f>
        <v>3876</v>
      </c>
      <c r="E32" s="10">
        <f>VLOOKUP($A32,'[1]2 2019 Data'!$C$7:$AB$237,1+'[1]3 Results'!E$4,FALSE)</f>
        <v>3906</v>
      </c>
      <c r="F32" s="10">
        <f>VLOOKUP($A32,'[1]2 2019 Data'!$C$7:$AB$237,1+'[1]3 Results'!F$4,FALSE)</f>
        <v>3978</v>
      </c>
      <c r="G32" s="10">
        <f>VLOOKUP($A32,'[1]2 2019 Data'!$C$7:$AB$237,1+'[1]3 Results'!G$4,FALSE)</f>
        <v>4034</v>
      </c>
      <c r="H32" s="10">
        <f>VLOOKUP($A32,'[1]2 2019 Data'!$C$7:$AB$237,1+'[1]3 Results'!H$4,FALSE)</f>
        <v>3973</v>
      </c>
      <c r="I32" s="10">
        <f>VLOOKUP($A32,'[1]2 2019 Data'!$C$7:$AB$237,1+'[1]3 Results'!I$4,FALSE)</f>
        <v>3941</v>
      </c>
      <c r="J32" s="10">
        <f>VLOOKUP($A32,'[1]2 2019 Data'!$C$7:$AB$237,1+'[1]3 Results'!J$4,FALSE)</f>
        <v>3912</v>
      </c>
      <c r="K32" s="10">
        <f>VLOOKUP($A32,'[1]2 2019 Data'!$C$7:$AB$237,1+'[1]3 Results'!K$4,FALSE)</f>
        <v>3880</v>
      </c>
      <c r="L32" s="10">
        <f>VLOOKUP($A32,'[1]2 2019 Data'!$C$7:$AB$237,1+'[1]3 Results'!L$4,FALSE)</f>
        <v>3901</v>
      </c>
      <c r="M32" s="10">
        <f>VLOOKUP($A32,'[1]2 2019 Data'!$C$7:$AB$237,1+'[1]3 Results'!M$4,FALSE)</f>
        <v>3719</v>
      </c>
      <c r="N32" s="10">
        <f>VLOOKUP($A32,'[1]2 2019 Data'!$C$7:$AB$237,1+'[1]3 Results'!N$4,FALSE)</f>
        <v>3707</v>
      </c>
      <c r="O32" s="10">
        <f>VLOOKUP($A32,'[1]2 2019 Data'!$C$7:$AB$237,1+'[1]3 Results'!O$4,FALSE)</f>
        <v>3727</v>
      </c>
      <c r="P32" s="10">
        <f>VLOOKUP($A32,'[1]2 2019 Data'!$C$7:$AB$237,1+'[1]3 Results'!P$4,FALSE)</f>
        <v>3728</v>
      </c>
      <c r="Q32" s="10">
        <f>VLOOKUP($A32,'[1]2 2019 Data'!$C$7:$AB$237,1+'[1]3 Results'!Q$4,FALSE)</f>
        <v>3734</v>
      </c>
      <c r="R32" s="10">
        <f>VLOOKUP($A32,'[1]2 2019 Data'!$C$7:$AB$237,1+'[1]3 Results'!R$4,FALSE)</f>
        <v>3762</v>
      </c>
      <c r="S32" s="10">
        <f>VLOOKUP($A32,'[1]2 2019 Data'!$C$7:$AB$237,1+'[1]3 Results'!S$4,FALSE)</f>
        <v>3767</v>
      </c>
      <c r="T32" s="10">
        <f>VLOOKUP($A32,'[1]2 2019 Data'!$C$7:$AB$237,1+'[1]3 Results'!T$4,FALSE)</f>
        <v>3674</v>
      </c>
    </row>
    <row r="33" spans="1:20" x14ac:dyDescent="0.35">
      <c r="B33">
        <v>2020</v>
      </c>
      <c r="C33" s="10">
        <f>VLOOKUP($A32,'[1]2 2020 Data'!$C$7:$AB$236,1+'[1]3 Results'!C$4,FALSE)</f>
        <v>3862</v>
      </c>
      <c r="D33" s="10">
        <f>VLOOKUP($A32,'[1]2 2020 Data'!$C$7:$AB$236,1+'[1]3 Results'!D$4,FALSE)</f>
        <v>3871</v>
      </c>
      <c r="E33" s="10">
        <f>VLOOKUP($A32,'[1]2 2020 Data'!$C$7:$AB$236,1+'[1]3 Results'!E$4,FALSE)</f>
        <v>3952</v>
      </c>
      <c r="F33" s="10">
        <f>VLOOKUP($A32,'[1]2 2020 Data'!$C$7:$AB$236,1+'[1]3 Results'!F$4,FALSE)</f>
        <v>3967</v>
      </c>
      <c r="G33" s="10">
        <f>VLOOKUP($A32,'[1]2 2020 Data'!$C$7:$AB$236,1+'[1]3 Results'!G$4,FALSE)</f>
        <v>3704</v>
      </c>
      <c r="H33" s="10">
        <f>VLOOKUP($A32,'[1]2 2020 Data'!$C$7:$AB$236,1+'[1]3 Results'!H$4,FALSE)</f>
        <v>3360</v>
      </c>
      <c r="I33" s="10">
        <f>VLOOKUP($A32,'[1]2 2020 Data'!$C$7:$AB$236,1+'[1]3 Results'!I$4,FALSE)</f>
        <v>3211</v>
      </c>
      <c r="J33" s="10">
        <f>VLOOKUP($A32,'[1]2 2020 Data'!$C$7:$AB$236,1+'[1]3 Results'!J$4,FALSE)</f>
        <v>3035</v>
      </c>
      <c r="K33" s="10">
        <f>VLOOKUP($A32,'[1]2 2020 Data'!$C$7:$AB$236,1+'[1]3 Results'!K$4,FALSE)</f>
        <v>2894</v>
      </c>
      <c r="L33" s="10">
        <f>VLOOKUP($A32,'[1]2 2020 Data'!$C$7:$AB$236,1+'[1]3 Results'!L$4,FALSE)</f>
        <v>2510</v>
      </c>
      <c r="M33" s="10">
        <f>VLOOKUP($A32,'[1]2 2020 Data'!$C$7:$AB$236,1+'[1]3 Results'!M$4,FALSE)</f>
        <v>2399</v>
      </c>
      <c r="N33" s="10">
        <f>VLOOKUP($A32,'[1]2 2020 Data'!$C$7:$AB$236,1+'[1]3 Results'!N$4,FALSE)</f>
        <v>855</v>
      </c>
      <c r="O33" s="10">
        <f>VLOOKUP($A32,'[1]2 2020 Data'!$C$7:$AB$236,1+'[1]3 Results'!O$4,FALSE)</f>
        <v>343</v>
      </c>
      <c r="P33" s="10">
        <f>VLOOKUP($A32,'[1]2 2020 Data'!$C$7:$AB$236,1+'[1]3 Results'!P$4,FALSE)</f>
        <v>377</v>
      </c>
      <c r="Q33" s="10">
        <f>VLOOKUP($A32,'[1]2 2020 Data'!$C$7:$AB$236,1+'[1]3 Results'!Q$4,FALSE)</f>
        <v>281</v>
      </c>
      <c r="R33" s="10">
        <f>VLOOKUP($A32,'[1]2 2020 Data'!$C$7:$AB$236,1+'[1]3 Results'!R$4,FALSE)</f>
        <v>109</v>
      </c>
      <c r="S33" s="10">
        <f>VLOOKUP($A32,'[1]2 2020 Data'!$C$7:$AB$236,1+'[1]3 Results'!S$4,FALSE)</f>
        <v>156</v>
      </c>
      <c r="T33" s="10">
        <f>VLOOKUP($A32,'[1]2 2020 Data'!$C$7:$AB$236,1+'[1]3 Results'!T$4,FALSE)</f>
        <v>110</v>
      </c>
    </row>
    <row r="34" spans="1:20" x14ac:dyDescent="0.35">
      <c r="C34" s="11">
        <f>C33/C32-1</f>
        <v>-1.0504739943633101E-2</v>
      </c>
      <c r="D34" s="11">
        <f t="shared" ref="D34:T34" si="9">D33/D32-1</f>
        <v>-1.2899896800825372E-3</v>
      </c>
      <c r="E34" s="11">
        <f t="shared" si="9"/>
        <v>1.177675371223752E-2</v>
      </c>
      <c r="F34" s="11">
        <f t="shared" si="9"/>
        <v>-2.7652086475615789E-3</v>
      </c>
      <c r="G34" s="11">
        <f t="shared" si="9"/>
        <v>-8.1804660386712968E-2</v>
      </c>
      <c r="H34" s="11">
        <f t="shared" si="9"/>
        <v>-0.15429146740498367</v>
      </c>
      <c r="I34" s="11">
        <f t="shared" si="9"/>
        <v>-0.18523217457498098</v>
      </c>
      <c r="J34" s="11">
        <f t="shared" si="9"/>
        <v>-0.22418200408997957</v>
      </c>
      <c r="K34" s="11">
        <f t="shared" si="9"/>
        <v>-0.25412371134020617</v>
      </c>
      <c r="L34" s="11">
        <f t="shared" si="9"/>
        <v>-0.35657523711868755</v>
      </c>
      <c r="M34" s="11">
        <f t="shared" si="9"/>
        <v>-0.35493412207582686</v>
      </c>
      <c r="N34" s="11">
        <f t="shared" si="9"/>
        <v>-0.76935527380631241</v>
      </c>
      <c r="O34" s="11">
        <f t="shared" si="9"/>
        <v>-0.90796887577139795</v>
      </c>
      <c r="P34" s="11">
        <f t="shared" si="9"/>
        <v>-0.89887339055793991</v>
      </c>
      <c r="Q34" s="11">
        <f t="shared" si="9"/>
        <v>-0.92474558114622385</v>
      </c>
      <c r="R34" s="11">
        <f t="shared" si="9"/>
        <v>-0.97102604997341835</v>
      </c>
      <c r="S34" s="11">
        <f t="shared" si="9"/>
        <v>-0.95858773559861954</v>
      </c>
      <c r="T34" s="11">
        <f t="shared" si="9"/>
        <v>-0.97005988023952094</v>
      </c>
    </row>
    <row r="35" spans="1:20" x14ac:dyDescent="0.35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35">
      <c r="C36" s="7">
        <f>C$8</f>
        <v>43836</v>
      </c>
      <c r="D36" s="7">
        <f t="shared" ref="D36:T36" si="10">D$8</f>
        <v>43843</v>
      </c>
      <c r="E36" s="7">
        <f t="shared" si="10"/>
        <v>43850</v>
      </c>
      <c r="F36" s="7">
        <f t="shared" si="10"/>
        <v>43857</v>
      </c>
      <c r="G36" s="7">
        <f t="shared" si="10"/>
        <v>43864</v>
      </c>
      <c r="H36" s="7">
        <f t="shared" si="10"/>
        <v>43871</v>
      </c>
      <c r="I36" s="7">
        <f t="shared" si="10"/>
        <v>43878</v>
      </c>
      <c r="J36" s="7">
        <f t="shared" si="10"/>
        <v>43885</v>
      </c>
      <c r="K36" s="7">
        <f t="shared" si="10"/>
        <v>43892</v>
      </c>
      <c r="L36" s="7">
        <f t="shared" si="10"/>
        <v>43899</v>
      </c>
      <c r="M36" s="7">
        <f t="shared" si="10"/>
        <v>43906</v>
      </c>
      <c r="N36" s="7">
        <f t="shared" si="10"/>
        <v>43913</v>
      </c>
      <c r="O36" s="7">
        <f t="shared" si="10"/>
        <v>43920</v>
      </c>
      <c r="P36" s="7">
        <f t="shared" si="10"/>
        <v>43927</v>
      </c>
      <c r="Q36" s="7">
        <f t="shared" si="10"/>
        <v>43934</v>
      </c>
      <c r="R36" s="7">
        <f t="shared" si="10"/>
        <v>43941</v>
      </c>
      <c r="S36" s="7">
        <f t="shared" si="10"/>
        <v>43948</v>
      </c>
      <c r="T36" s="7">
        <f t="shared" si="10"/>
        <v>43955</v>
      </c>
    </row>
    <row r="37" spans="1:20" x14ac:dyDescent="0.35">
      <c r="A37" t="s">
        <v>10</v>
      </c>
      <c r="B37">
        <v>2019</v>
      </c>
      <c r="C37" s="10">
        <f>VLOOKUP($A37,'[1]2 2019 Data'!$C$7:$AB$237,1+'[1]3 Results'!C$4,FALSE)</f>
        <v>11331</v>
      </c>
      <c r="D37" s="10">
        <f>VLOOKUP($A37,'[1]2 2019 Data'!$C$7:$AB$237,1+'[1]3 Results'!D$4,FALSE)</f>
        <v>11053</v>
      </c>
      <c r="E37" s="10">
        <f>VLOOKUP($A37,'[1]2 2019 Data'!$C$7:$AB$237,1+'[1]3 Results'!E$4,FALSE)</f>
        <v>11012</v>
      </c>
      <c r="F37" s="10">
        <f>VLOOKUP($A37,'[1]2 2019 Data'!$C$7:$AB$237,1+'[1]3 Results'!F$4,FALSE)</f>
        <v>11087</v>
      </c>
      <c r="G37" s="10">
        <f>VLOOKUP($A37,'[1]2 2019 Data'!$C$7:$AB$237,1+'[1]3 Results'!G$4,FALSE)</f>
        <v>11223</v>
      </c>
      <c r="H37" s="10">
        <f>VLOOKUP($A37,'[1]2 2019 Data'!$C$7:$AB$237,1+'[1]3 Results'!H$4,FALSE)</f>
        <v>11474</v>
      </c>
      <c r="I37" s="10">
        <f>VLOOKUP($A37,'[1]2 2019 Data'!$C$7:$AB$237,1+'[1]3 Results'!I$4,FALSE)</f>
        <v>11636</v>
      </c>
      <c r="J37" s="10">
        <f>VLOOKUP($A37,'[1]2 2019 Data'!$C$7:$AB$237,1+'[1]3 Results'!J$4,FALSE)</f>
        <v>11590</v>
      </c>
      <c r="K37" s="10">
        <f>VLOOKUP($A37,'[1]2 2019 Data'!$C$7:$AB$237,1+'[1]3 Results'!K$4,FALSE)</f>
        <v>11568</v>
      </c>
      <c r="L37" s="10">
        <f>VLOOKUP($A37,'[1]2 2019 Data'!$C$7:$AB$237,1+'[1]3 Results'!L$4,FALSE)</f>
        <v>11568</v>
      </c>
      <c r="M37" s="10">
        <f>VLOOKUP($A37,'[1]2 2019 Data'!$C$7:$AB$237,1+'[1]3 Results'!M$4,FALSE)</f>
        <v>11547</v>
      </c>
      <c r="N37" s="10">
        <f>VLOOKUP($A37,'[1]2 2019 Data'!$C$7:$AB$237,1+'[1]3 Results'!N$4,FALSE)</f>
        <v>11520</v>
      </c>
      <c r="O37" s="10">
        <f>VLOOKUP($A37,'[1]2 2019 Data'!$C$7:$AB$237,1+'[1]3 Results'!O$4,FALSE)</f>
        <v>13521</v>
      </c>
      <c r="P37" s="10">
        <f>VLOOKUP($A37,'[1]2 2019 Data'!$C$7:$AB$237,1+'[1]3 Results'!P$4,FALSE)</f>
        <v>13685</v>
      </c>
      <c r="Q37" s="10">
        <f>VLOOKUP($A37,'[1]2 2019 Data'!$C$7:$AB$237,1+'[1]3 Results'!Q$4,FALSE)</f>
        <v>13912</v>
      </c>
      <c r="R37" s="10">
        <f>VLOOKUP($A37,'[1]2 2019 Data'!$C$7:$AB$237,1+'[1]3 Results'!R$4,FALSE)</f>
        <v>13959</v>
      </c>
      <c r="S37" s="10">
        <f>VLOOKUP($A37,'[1]2 2019 Data'!$C$7:$AB$237,1+'[1]3 Results'!S$4,FALSE)</f>
        <v>14033</v>
      </c>
      <c r="T37" s="10">
        <f>VLOOKUP($A37,'[1]2 2019 Data'!$C$7:$AB$237,1+'[1]3 Results'!T$4,FALSE)</f>
        <v>14205</v>
      </c>
    </row>
    <row r="38" spans="1:20" x14ac:dyDescent="0.35">
      <c r="B38">
        <v>2020</v>
      </c>
      <c r="C38" s="10">
        <f>VLOOKUP($A37,'[1]2 2020 Data'!$C$7:$AB$236,1+'[1]3 Results'!C$4,FALSE)</f>
        <v>11421</v>
      </c>
      <c r="D38" s="10">
        <f>VLOOKUP($A37,'[1]2 2020 Data'!$C$7:$AB$236,1+'[1]3 Results'!D$4,FALSE)</f>
        <v>10505</v>
      </c>
      <c r="E38" s="10">
        <f>VLOOKUP($A37,'[1]2 2020 Data'!$C$7:$AB$236,1+'[1]3 Results'!E$4,FALSE)</f>
        <v>10551</v>
      </c>
      <c r="F38" s="10">
        <f>VLOOKUP($A37,'[1]2 2020 Data'!$C$7:$AB$236,1+'[1]3 Results'!F$4,FALSE)</f>
        <v>10551</v>
      </c>
      <c r="G38" s="10">
        <f>VLOOKUP($A37,'[1]2 2020 Data'!$C$7:$AB$236,1+'[1]3 Results'!G$4,FALSE)</f>
        <v>10744</v>
      </c>
      <c r="H38" s="10">
        <f>VLOOKUP($A37,'[1]2 2020 Data'!$C$7:$AB$236,1+'[1]3 Results'!H$4,FALSE)</f>
        <v>11071</v>
      </c>
      <c r="I38" s="10">
        <f>VLOOKUP($A37,'[1]2 2020 Data'!$C$7:$AB$236,1+'[1]3 Results'!I$4,FALSE)</f>
        <v>11307</v>
      </c>
      <c r="J38" s="10">
        <f>VLOOKUP($A37,'[1]2 2020 Data'!$C$7:$AB$236,1+'[1]3 Results'!J$4,FALSE)</f>
        <v>10872</v>
      </c>
      <c r="K38" s="10">
        <f>VLOOKUP($A37,'[1]2 2020 Data'!$C$7:$AB$236,1+'[1]3 Results'!K$4,FALSE)</f>
        <v>10549</v>
      </c>
      <c r="L38" s="10">
        <f>VLOOKUP($A37,'[1]2 2020 Data'!$C$7:$AB$236,1+'[1]3 Results'!L$4,FALSE)</f>
        <v>9067</v>
      </c>
      <c r="M38" s="10">
        <f>VLOOKUP($A37,'[1]2 2020 Data'!$C$7:$AB$236,1+'[1]3 Results'!M$4,FALSE)</f>
        <v>3013</v>
      </c>
      <c r="N38" s="10">
        <f>VLOOKUP($A37,'[1]2 2020 Data'!$C$7:$AB$236,1+'[1]3 Results'!N$4,FALSE)</f>
        <v>1382</v>
      </c>
      <c r="O38" s="10">
        <f>VLOOKUP($A37,'[1]2 2020 Data'!$C$7:$AB$236,1+'[1]3 Results'!O$4,FALSE)</f>
        <v>1459</v>
      </c>
      <c r="P38" s="10">
        <f>VLOOKUP($A37,'[1]2 2020 Data'!$C$7:$AB$236,1+'[1]3 Results'!P$4,FALSE)</f>
        <v>1510</v>
      </c>
      <c r="Q38" s="10">
        <f>VLOOKUP($A37,'[1]2 2020 Data'!$C$7:$AB$236,1+'[1]3 Results'!Q$4,FALSE)</f>
        <v>1079</v>
      </c>
      <c r="R38" s="10">
        <f>VLOOKUP($A37,'[1]2 2020 Data'!$C$7:$AB$236,1+'[1]3 Results'!R$4,FALSE)</f>
        <v>2618</v>
      </c>
      <c r="S38" s="10">
        <f>VLOOKUP($A37,'[1]2 2020 Data'!$C$7:$AB$236,1+'[1]3 Results'!S$4,FALSE)</f>
        <v>2783</v>
      </c>
      <c r="T38" s="10">
        <f>VLOOKUP($A37,'[1]2 2020 Data'!$C$7:$AB$236,1+'[1]3 Results'!T$4,FALSE)</f>
        <v>3112</v>
      </c>
    </row>
    <row r="39" spans="1:20" x14ac:dyDescent="0.35">
      <c r="C39" s="11">
        <f>C38/C37-1</f>
        <v>7.9428117553614896E-3</v>
      </c>
      <c r="D39" s="11">
        <f t="shared" ref="D39:T39" si="11">D38/D37-1</f>
        <v>-4.9579299737627758E-2</v>
      </c>
      <c r="E39" s="11">
        <f t="shared" si="11"/>
        <v>-4.1863421721758054E-2</v>
      </c>
      <c r="F39" s="11">
        <f t="shared" si="11"/>
        <v>-4.834490845133943E-2</v>
      </c>
      <c r="G39" s="11">
        <f t="shared" si="11"/>
        <v>-4.2680210282455722E-2</v>
      </c>
      <c r="H39" s="11">
        <f t="shared" si="11"/>
        <v>-3.5122886526058883E-2</v>
      </c>
      <c r="I39" s="11">
        <f t="shared" si="11"/>
        <v>-2.827432107253347E-2</v>
      </c>
      <c r="J39" s="11">
        <f t="shared" si="11"/>
        <v>-6.1949956859361555E-2</v>
      </c>
      <c r="K39" s="11">
        <f t="shared" si="11"/>
        <v>-8.8087828492392828E-2</v>
      </c>
      <c r="L39" s="11">
        <f t="shared" si="11"/>
        <v>-0.21619986168741356</v>
      </c>
      <c r="M39" s="11">
        <f t="shared" si="11"/>
        <v>-0.73906642417944057</v>
      </c>
      <c r="N39" s="11">
        <f t="shared" si="11"/>
        <v>-0.88003472222222223</v>
      </c>
      <c r="O39" s="11">
        <f t="shared" si="11"/>
        <v>-0.8920937800458546</v>
      </c>
      <c r="P39" s="11">
        <f t="shared" si="11"/>
        <v>-0.88966021191085132</v>
      </c>
      <c r="Q39" s="11">
        <f t="shared" si="11"/>
        <v>-0.92244105807935595</v>
      </c>
      <c r="R39" s="11">
        <f t="shared" si="11"/>
        <v>-0.81245074862096134</v>
      </c>
      <c r="S39" s="11">
        <f t="shared" si="11"/>
        <v>-0.80168175016033638</v>
      </c>
      <c r="T39" s="11">
        <f t="shared" si="11"/>
        <v>-0.78092221048926436</v>
      </c>
    </row>
    <row r="40" spans="1:20" x14ac:dyDescent="0.35"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x14ac:dyDescent="0.35">
      <c r="C41" s="7">
        <f>C$8</f>
        <v>43836</v>
      </c>
      <c r="D41" s="7">
        <f t="shared" ref="D41:T41" si="12">D$8</f>
        <v>43843</v>
      </c>
      <c r="E41" s="7">
        <f t="shared" si="12"/>
        <v>43850</v>
      </c>
      <c r="F41" s="7">
        <f t="shared" si="12"/>
        <v>43857</v>
      </c>
      <c r="G41" s="7">
        <f t="shared" si="12"/>
        <v>43864</v>
      </c>
      <c r="H41" s="7">
        <f t="shared" si="12"/>
        <v>43871</v>
      </c>
      <c r="I41" s="7">
        <f t="shared" si="12"/>
        <v>43878</v>
      </c>
      <c r="J41" s="7">
        <f t="shared" si="12"/>
        <v>43885</v>
      </c>
      <c r="K41" s="7">
        <f t="shared" si="12"/>
        <v>43892</v>
      </c>
      <c r="L41" s="7">
        <f t="shared" si="12"/>
        <v>43899</v>
      </c>
      <c r="M41" s="7">
        <f t="shared" si="12"/>
        <v>43906</v>
      </c>
      <c r="N41" s="7">
        <f t="shared" si="12"/>
        <v>43913</v>
      </c>
      <c r="O41" s="7">
        <f t="shared" si="12"/>
        <v>43920</v>
      </c>
      <c r="P41" s="7">
        <f t="shared" si="12"/>
        <v>43927</v>
      </c>
      <c r="Q41" s="7">
        <f t="shared" si="12"/>
        <v>43934</v>
      </c>
      <c r="R41" s="7">
        <f t="shared" si="12"/>
        <v>43941</v>
      </c>
      <c r="S41" s="7">
        <f t="shared" si="12"/>
        <v>43948</v>
      </c>
      <c r="T41" s="7">
        <f t="shared" si="12"/>
        <v>43955</v>
      </c>
    </row>
    <row r="42" spans="1:20" x14ac:dyDescent="0.35">
      <c r="A42" t="s">
        <v>11</v>
      </c>
      <c r="B42">
        <v>2019</v>
      </c>
      <c r="C42" s="10">
        <f>VLOOKUP($A42,'[1]2 2019 Data'!$C$7:$AB$237,1+'[1]3 Results'!C$4,FALSE)</f>
        <v>12132</v>
      </c>
      <c r="D42" s="10">
        <f>VLOOKUP($A42,'[1]2 2019 Data'!$C$7:$AB$237,1+'[1]3 Results'!D$4,FALSE)</f>
        <v>12036</v>
      </c>
      <c r="E42" s="10">
        <f>VLOOKUP($A42,'[1]2 2019 Data'!$C$7:$AB$237,1+'[1]3 Results'!E$4,FALSE)</f>
        <v>12087</v>
      </c>
      <c r="F42" s="10">
        <f>VLOOKUP($A42,'[1]2 2019 Data'!$C$7:$AB$237,1+'[1]3 Results'!F$4,FALSE)</f>
        <v>12183</v>
      </c>
      <c r="G42" s="10">
        <f>VLOOKUP($A42,'[1]2 2019 Data'!$C$7:$AB$237,1+'[1]3 Results'!G$4,FALSE)</f>
        <v>12297</v>
      </c>
      <c r="H42" s="10">
        <f>VLOOKUP($A42,'[1]2 2019 Data'!$C$7:$AB$237,1+'[1]3 Results'!H$4,FALSE)</f>
        <v>12545</v>
      </c>
      <c r="I42" s="10">
        <f>VLOOKUP($A42,'[1]2 2019 Data'!$C$7:$AB$237,1+'[1]3 Results'!I$4,FALSE)</f>
        <v>12502</v>
      </c>
      <c r="J42" s="10">
        <f>VLOOKUP($A42,'[1]2 2019 Data'!$C$7:$AB$237,1+'[1]3 Results'!J$4,FALSE)</f>
        <v>12539</v>
      </c>
      <c r="K42" s="10">
        <f>VLOOKUP($A42,'[1]2 2019 Data'!$C$7:$AB$237,1+'[1]3 Results'!K$4,FALSE)</f>
        <v>12813</v>
      </c>
      <c r="L42" s="10">
        <f>VLOOKUP($A42,'[1]2 2019 Data'!$C$7:$AB$237,1+'[1]3 Results'!L$4,FALSE)</f>
        <v>13078</v>
      </c>
      <c r="M42" s="10">
        <f>VLOOKUP($A42,'[1]2 2019 Data'!$C$7:$AB$237,1+'[1]3 Results'!M$4,FALSE)</f>
        <v>12872</v>
      </c>
      <c r="N42" s="10">
        <f>VLOOKUP($A42,'[1]2 2019 Data'!$C$7:$AB$237,1+'[1]3 Results'!N$4,FALSE)</f>
        <v>13111</v>
      </c>
      <c r="O42" s="10">
        <f>VLOOKUP($A42,'[1]2 2019 Data'!$C$7:$AB$237,1+'[1]3 Results'!O$4,FALSE)</f>
        <v>14779</v>
      </c>
      <c r="P42" s="10">
        <f>VLOOKUP($A42,'[1]2 2019 Data'!$C$7:$AB$237,1+'[1]3 Results'!P$4,FALSE)</f>
        <v>15130</v>
      </c>
      <c r="Q42" s="10">
        <f>VLOOKUP($A42,'[1]2 2019 Data'!$C$7:$AB$237,1+'[1]3 Results'!Q$4,FALSE)</f>
        <v>15194</v>
      </c>
      <c r="R42" s="10">
        <f>VLOOKUP($A42,'[1]2 2019 Data'!$C$7:$AB$237,1+'[1]3 Results'!R$4,FALSE)</f>
        <v>15257</v>
      </c>
      <c r="S42" s="10">
        <f>VLOOKUP($A42,'[1]2 2019 Data'!$C$7:$AB$237,1+'[1]3 Results'!S$4,FALSE)</f>
        <v>15124</v>
      </c>
      <c r="T42" s="10">
        <f>VLOOKUP($A42,'[1]2 2019 Data'!$C$7:$AB$237,1+'[1]3 Results'!T$4,FALSE)</f>
        <v>14876</v>
      </c>
    </row>
    <row r="43" spans="1:20" x14ac:dyDescent="0.35">
      <c r="B43">
        <v>2020</v>
      </c>
      <c r="C43" s="10">
        <f>VLOOKUP($A42,'[1]2 2020 Data'!$C$7:$AB$236,1+'[1]3 Results'!C$4,FALSE)</f>
        <v>12298</v>
      </c>
      <c r="D43" s="10">
        <f>VLOOKUP($A42,'[1]2 2020 Data'!$C$7:$AB$236,1+'[1]3 Results'!D$4,FALSE)</f>
        <v>11861</v>
      </c>
      <c r="E43" s="10">
        <f>VLOOKUP($A42,'[1]2 2020 Data'!$C$7:$AB$236,1+'[1]3 Results'!E$4,FALSE)</f>
        <v>11858</v>
      </c>
      <c r="F43" s="10">
        <f>VLOOKUP($A42,'[1]2 2020 Data'!$C$7:$AB$236,1+'[1]3 Results'!F$4,FALSE)</f>
        <v>12029</v>
      </c>
      <c r="G43" s="10">
        <f>VLOOKUP($A42,'[1]2 2020 Data'!$C$7:$AB$236,1+'[1]3 Results'!G$4,FALSE)</f>
        <v>12260</v>
      </c>
      <c r="H43" s="10">
        <f>VLOOKUP($A42,'[1]2 2020 Data'!$C$7:$AB$236,1+'[1]3 Results'!H$4,FALSE)</f>
        <v>12623</v>
      </c>
      <c r="I43" s="10">
        <f>VLOOKUP($A42,'[1]2 2020 Data'!$C$7:$AB$236,1+'[1]3 Results'!I$4,FALSE)</f>
        <v>12709</v>
      </c>
      <c r="J43" s="10">
        <f>VLOOKUP($A42,'[1]2 2020 Data'!$C$7:$AB$236,1+'[1]3 Results'!J$4,FALSE)</f>
        <v>12481</v>
      </c>
      <c r="K43" s="10">
        <f>VLOOKUP($A42,'[1]2 2020 Data'!$C$7:$AB$236,1+'[1]3 Results'!K$4,FALSE)</f>
        <v>12555</v>
      </c>
      <c r="L43" s="10">
        <f>VLOOKUP($A42,'[1]2 2020 Data'!$C$7:$AB$236,1+'[1]3 Results'!L$4,FALSE)</f>
        <v>12577</v>
      </c>
      <c r="M43" s="10">
        <f>VLOOKUP($A42,'[1]2 2020 Data'!$C$7:$AB$236,1+'[1]3 Results'!M$4,FALSE)</f>
        <v>11113</v>
      </c>
      <c r="N43" s="10">
        <f>VLOOKUP($A42,'[1]2 2020 Data'!$C$7:$AB$236,1+'[1]3 Results'!N$4,FALSE)</f>
        <v>7700</v>
      </c>
      <c r="O43" s="10">
        <f>VLOOKUP($A42,'[1]2 2020 Data'!$C$7:$AB$236,1+'[1]3 Results'!O$4,FALSE)</f>
        <v>2747</v>
      </c>
      <c r="P43" s="10">
        <f>VLOOKUP($A42,'[1]2 2020 Data'!$C$7:$AB$236,1+'[1]3 Results'!P$4,FALSE)</f>
        <v>1971</v>
      </c>
      <c r="Q43" s="10">
        <f>VLOOKUP($A42,'[1]2 2020 Data'!$C$7:$AB$236,1+'[1]3 Results'!Q$4,FALSE)</f>
        <v>1206</v>
      </c>
      <c r="R43" s="10">
        <f>VLOOKUP($A42,'[1]2 2020 Data'!$C$7:$AB$236,1+'[1]3 Results'!R$4,FALSE)</f>
        <v>1266</v>
      </c>
      <c r="S43" s="10">
        <f>VLOOKUP($A42,'[1]2 2020 Data'!$C$7:$AB$236,1+'[1]3 Results'!S$4,FALSE)</f>
        <v>1245</v>
      </c>
      <c r="T43" s="10">
        <f>VLOOKUP($A42,'[1]2 2020 Data'!$C$7:$AB$236,1+'[1]3 Results'!T$4,FALSE)</f>
        <v>1204</v>
      </c>
    </row>
    <row r="44" spans="1:20" x14ac:dyDescent="0.35">
      <c r="C44" s="11">
        <f>C43/C42-1</f>
        <v>1.3682822288163532E-2</v>
      </c>
      <c r="D44" s="11">
        <f t="shared" ref="D44:T44" si="13">D43/D42-1</f>
        <v>-1.4539714190761055E-2</v>
      </c>
      <c r="E44" s="11">
        <f t="shared" si="13"/>
        <v>-1.8945975014478367E-2</v>
      </c>
      <c r="F44" s="11">
        <f t="shared" si="13"/>
        <v>-1.2640564721333014E-2</v>
      </c>
      <c r="G44" s="11">
        <f t="shared" si="13"/>
        <v>-3.0088639505569947E-3</v>
      </c>
      <c r="H44" s="11">
        <f t="shared" si="13"/>
        <v>6.2176165803109473E-3</v>
      </c>
      <c r="I44" s="11">
        <f t="shared" si="13"/>
        <v>1.6557350823868111E-2</v>
      </c>
      <c r="J44" s="11">
        <f t="shared" si="13"/>
        <v>-4.6255682271313381E-3</v>
      </c>
      <c r="K44" s="11">
        <f t="shared" si="13"/>
        <v>-2.0135799578553049E-2</v>
      </c>
      <c r="L44" s="11">
        <f t="shared" si="13"/>
        <v>-3.8308609879186384E-2</v>
      </c>
      <c r="M44" s="11">
        <f t="shared" si="13"/>
        <v>-0.13665320074580489</v>
      </c>
      <c r="N44" s="11">
        <f t="shared" si="13"/>
        <v>-0.41270688734650296</v>
      </c>
      <c r="O44" s="11">
        <f t="shared" si="13"/>
        <v>-0.81412815481426348</v>
      </c>
      <c r="P44" s="11">
        <f t="shared" si="13"/>
        <v>-0.86972901520158619</v>
      </c>
      <c r="Q44" s="11">
        <f t="shared" si="13"/>
        <v>-0.92062656311701985</v>
      </c>
      <c r="R44" s="11">
        <f t="shared" si="13"/>
        <v>-0.91702169495969066</v>
      </c>
      <c r="S44" s="11">
        <f t="shared" si="13"/>
        <v>-0.9176805078021687</v>
      </c>
      <c r="T44" s="11">
        <f t="shared" si="13"/>
        <v>-0.91906426458725465</v>
      </c>
    </row>
    <row r="45" spans="1:20" x14ac:dyDescent="0.35"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x14ac:dyDescent="0.35">
      <c r="C46" s="7">
        <f>C$8</f>
        <v>43836</v>
      </c>
      <c r="D46" s="7">
        <f t="shared" ref="D46:T46" si="14">D$8</f>
        <v>43843</v>
      </c>
      <c r="E46" s="7">
        <f t="shared" si="14"/>
        <v>43850</v>
      </c>
      <c r="F46" s="7">
        <f t="shared" si="14"/>
        <v>43857</v>
      </c>
      <c r="G46" s="7">
        <f t="shared" si="14"/>
        <v>43864</v>
      </c>
      <c r="H46" s="7">
        <f t="shared" si="14"/>
        <v>43871</v>
      </c>
      <c r="I46" s="7">
        <f t="shared" si="14"/>
        <v>43878</v>
      </c>
      <c r="J46" s="7">
        <f t="shared" si="14"/>
        <v>43885</v>
      </c>
      <c r="K46" s="7">
        <f t="shared" si="14"/>
        <v>43892</v>
      </c>
      <c r="L46" s="7">
        <f t="shared" si="14"/>
        <v>43899</v>
      </c>
      <c r="M46" s="7">
        <f t="shared" si="14"/>
        <v>43906</v>
      </c>
      <c r="N46" s="7">
        <f t="shared" si="14"/>
        <v>43913</v>
      </c>
      <c r="O46" s="7">
        <f t="shared" si="14"/>
        <v>43920</v>
      </c>
      <c r="P46" s="7">
        <f t="shared" si="14"/>
        <v>43927</v>
      </c>
      <c r="Q46" s="7">
        <f t="shared" si="14"/>
        <v>43934</v>
      </c>
      <c r="R46" s="7">
        <f t="shared" si="14"/>
        <v>43941</v>
      </c>
      <c r="S46" s="7">
        <f t="shared" si="14"/>
        <v>43948</v>
      </c>
      <c r="T46" s="7">
        <f t="shared" si="14"/>
        <v>43955</v>
      </c>
    </row>
    <row r="47" spans="1:20" x14ac:dyDescent="0.35">
      <c r="A47" t="s">
        <v>12</v>
      </c>
      <c r="B47">
        <v>2019</v>
      </c>
      <c r="C47" s="10">
        <f>VLOOKUP("United Kingdom",'[1]2 2019 Data'!$C$7:$AB$237,1+'[1]3 Results'!C$4,FALSE)</f>
        <v>17933</v>
      </c>
      <c r="D47" s="10">
        <f>VLOOKUP("United Kingdom",'[1]2 2019 Data'!$C$7:$AB$237,1+'[1]3 Results'!D$4,FALSE)</f>
        <v>17711</v>
      </c>
      <c r="E47" s="10">
        <f>VLOOKUP("United Kingdom",'[1]2 2019 Data'!$C$7:$AB$237,1+'[1]3 Results'!E$4,FALSE)</f>
        <v>17836</v>
      </c>
      <c r="F47" s="10">
        <f>VLOOKUP("United Kingdom",'[1]2 2019 Data'!$C$7:$AB$237,1+'[1]3 Results'!F$4,FALSE)</f>
        <v>18203</v>
      </c>
      <c r="G47" s="10">
        <f>VLOOKUP("United Kingdom",'[1]2 2019 Data'!$C$7:$AB$237,1+'[1]3 Results'!G$4,FALSE)</f>
        <v>18698</v>
      </c>
      <c r="H47" s="10">
        <f>VLOOKUP("United Kingdom",'[1]2 2019 Data'!$C$7:$AB$237,1+'[1]3 Results'!H$4,FALSE)</f>
        <v>19333</v>
      </c>
      <c r="I47" s="10">
        <f>VLOOKUP("United Kingdom",'[1]2 2019 Data'!$C$7:$AB$237,1+'[1]3 Results'!I$4,FALSE)</f>
        <v>19581</v>
      </c>
      <c r="J47" s="10">
        <f>VLOOKUP("United Kingdom",'[1]2 2019 Data'!$C$7:$AB$237,1+'[1]3 Results'!J$4,FALSE)</f>
        <v>19372</v>
      </c>
      <c r="K47" s="10">
        <f>VLOOKUP("United Kingdom",'[1]2 2019 Data'!$C$7:$AB$237,1+'[1]3 Results'!K$4,FALSE)</f>
        <v>19520</v>
      </c>
      <c r="L47" s="10">
        <f>VLOOKUP("United Kingdom",'[1]2 2019 Data'!$C$7:$AB$237,1+'[1]3 Results'!L$4,FALSE)</f>
        <v>19600</v>
      </c>
      <c r="M47" s="10">
        <f>VLOOKUP("United Kingdom",'[1]2 2019 Data'!$C$7:$AB$237,1+'[1]3 Results'!M$4,FALSE)</f>
        <v>19443</v>
      </c>
      <c r="N47" s="10">
        <f>VLOOKUP("United Kingdom",'[1]2 2019 Data'!$C$7:$AB$237,1+'[1]3 Results'!N$4,FALSE)</f>
        <v>19629</v>
      </c>
      <c r="O47" s="10">
        <f>VLOOKUP("United Kingdom",'[1]2 2019 Data'!$C$7:$AB$237,1+'[1]3 Results'!O$4,FALSE)</f>
        <v>21568</v>
      </c>
      <c r="P47" s="10">
        <f>VLOOKUP("United Kingdom",'[1]2 2019 Data'!$C$7:$AB$237,1+'[1]3 Results'!P$4,FALSE)</f>
        <v>21872</v>
      </c>
      <c r="Q47" s="10">
        <f>VLOOKUP("United Kingdom",'[1]2 2019 Data'!$C$7:$AB$237,1+'[1]3 Results'!Q$4,FALSE)</f>
        <v>21604</v>
      </c>
      <c r="R47" s="10">
        <f>VLOOKUP("United Kingdom",'[1]2 2019 Data'!$C$7:$AB$237,1+'[1]3 Results'!R$4,FALSE)</f>
        <v>21636</v>
      </c>
      <c r="S47" s="10">
        <f>VLOOKUP("United Kingdom",'[1]2 2019 Data'!$C$7:$AB$237,1+'[1]3 Results'!S$4,FALSE)</f>
        <v>22479</v>
      </c>
      <c r="T47" s="10">
        <f>VLOOKUP("United Kingdom",'[1]2 2019 Data'!$C$7:$AB$237,1+'[1]3 Results'!T$4,FALSE)</f>
        <v>22661</v>
      </c>
    </row>
    <row r="48" spans="1:20" x14ac:dyDescent="0.35">
      <c r="B48">
        <v>2020</v>
      </c>
      <c r="C48" s="10">
        <f>VLOOKUP("United Kingdom",'[1]2 2020 Data'!$C$7:$AB$236,1+'[1]3 Results'!C$4,FALSE)</f>
        <v>17617</v>
      </c>
      <c r="D48" s="10">
        <f>VLOOKUP("United Kingdom",'[1]2 2020 Data'!$C$7:$AB$236,1+'[1]3 Results'!D$4,FALSE)</f>
        <v>16980</v>
      </c>
      <c r="E48" s="10">
        <f>VLOOKUP("United Kingdom",'[1]2 2020 Data'!$C$7:$AB$236,1+'[1]3 Results'!E$4,FALSE)</f>
        <v>17089</v>
      </c>
      <c r="F48" s="10">
        <f>VLOOKUP("United Kingdom",'[1]2 2020 Data'!$C$7:$AB$236,1+'[1]3 Results'!F$4,FALSE)</f>
        <v>17282</v>
      </c>
      <c r="G48" s="10">
        <f>VLOOKUP("United Kingdom",'[1]2 2020 Data'!$C$7:$AB$236,1+'[1]3 Results'!G$4,FALSE)</f>
        <v>17891</v>
      </c>
      <c r="H48" s="10">
        <f>VLOOKUP("United Kingdom",'[1]2 2020 Data'!$C$7:$AB$236,1+'[1]3 Results'!H$4,FALSE)</f>
        <v>18568</v>
      </c>
      <c r="I48" s="10">
        <f>VLOOKUP("United Kingdom",'[1]2 2020 Data'!$C$7:$AB$236,1+'[1]3 Results'!I$4,FALSE)</f>
        <v>18987</v>
      </c>
      <c r="J48" s="10">
        <f>VLOOKUP("United Kingdom",'[1]2 2020 Data'!$C$7:$AB$236,1+'[1]3 Results'!J$4,FALSE)</f>
        <v>19013</v>
      </c>
      <c r="K48" s="10">
        <f>VLOOKUP("United Kingdom",'[1]2 2020 Data'!$C$7:$AB$236,1+'[1]3 Results'!K$4,FALSE)</f>
        <v>18988</v>
      </c>
      <c r="L48" s="10">
        <f>VLOOKUP("United Kingdom",'[1]2 2020 Data'!$C$7:$AB$236,1+'[1]3 Results'!L$4,FALSE)</f>
        <v>16561</v>
      </c>
      <c r="M48" s="10">
        <f>VLOOKUP("United Kingdom",'[1]2 2020 Data'!$C$7:$AB$236,1+'[1]3 Results'!M$4,FALSE)</f>
        <v>15681</v>
      </c>
      <c r="N48" s="10">
        <f>VLOOKUP("United Kingdom",'[1]2 2020 Data'!$C$7:$AB$236,1+'[1]3 Results'!N$4,FALSE)</f>
        <v>9123</v>
      </c>
      <c r="O48" s="10">
        <f>VLOOKUP("United Kingdom",'[1]2 2020 Data'!$C$7:$AB$236,1+'[1]3 Results'!O$4,FALSE)</f>
        <v>5258</v>
      </c>
      <c r="P48" s="10">
        <f>VLOOKUP("United Kingdom",'[1]2 2020 Data'!$C$7:$AB$236,1+'[1]3 Results'!P$4,FALSE)</f>
        <v>2040</v>
      </c>
      <c r="Q48" s="10">
        <f>VLOOKUP("United Kingdom",'[1]2 2020 Data'!$C$7:$AB$236,1+'[1]3 Results'!Q$4,FALSE)</f>
        <v>1738</v>
      </c>
      <c r="R48" s="10">
        <f>VLOOKUP("United Kingdom",'[1]2 2020 Data'!$C$7:$AB$236,1+'[1]3 Results'!R$4,FALSE)</f>
        <v>1463</v>
      </c>
      <c r="S48" s="10">
        <f>VLOOKUP("United Kingdom",'[1]2 2020 Data'!$C$7:$AB$236,1+'[1]3 Results'!S$4,FALSE)</f>
        <v>1464</v>
      </c>
      <c r="T48" s="10">
        <f>VLOOKUP("United Kingdom",'[1]2 2020 Data'!$C$7:$AB$236,1+'[1]3 Results'!T$4,FALSE)</f>
        <v>1700</v>
      </c>
    </row>
    <row r="49" spans="1:20" x14ac:dyDescent="0.35">
      <c r="C49" s="11">
        <f>C48/C47-1</f>
        <v>-1.7621145374449365E-2</v>
      </c>
      <c r="D49" s="11">
        <f t="shared" ref="D49:T49" si="15">D48/D47-1</f>
        <v>-4.1273784653605095E-2</v>
      </c>
      <c r="E49" s="11">
        <f t="shared" si="15"/>
        <v>-4.18815877999551E-2</v>
      </c>
      <c r="F49" s="11">
        <f t="shared" si="15"/>
        <v>-5.0596055595231504E-2</v>
      </c>
      <c r="G49" s="11">
        <f t="shared" si="15"/>
        <v>-4.3159696224195132E-2</v>
      </c>
      <c r="H49" s="11">
        <f t="shared" si="15"/>
        <v>-3.9569647752547454E-2</v>
      </c>
      <c r="I49" s="11">
        <f t="shared" si="15"/>
        <v>-3.033552933966599E-2</v>
      </c>
      <c r="J49" s="11">
        <f t="shared" si="15"/>
        <v>-1.8531901713813803E-2</v>
      </c>
      <c r="K49" s="11">
        <f t="shared" si="15"/>
        <v>-2.7254098360655732E-2</v>
      </c>
      <c r="L49" s="11">
        <f t="shared" si="15"/>
        <v>-0.15505102040816332</v>
      </c>
      <c r="M49" s="11">
        <f t="shared" si="15"/>
        <v>-0.19348865915753743</v>
      </c>
      <c r="N49" s="11">
        <f t="shared" si="15"/>
        <v>-0.53522848846095061</v>
      </c>
      <c r="O49" s="11">
        <f t="shared" si="15"/>
        <v>-0.75621290801186947</v>
      </c>
      <c r="P49" s="11">
        <f t="shared" si="15"/>
        <v>-0.90673006583760063</v>
      </c>
      <c r="Q49" s="11">
        <f t="shared" si="15"/>
        <v>-0.91955193482688391</v>
      </c>
      <c r="R49" s="11">
        <f t="shared" si="15"/>
        <v>-0.93238121649103345</v>
      </c>
      <c r="S49" s="11">
        <f t="shared" si="15"/>
        <v>-0.9348725477111971</v>
      </c>
      <c r="T49" s="11">
        <f t="shared" si="15"/>
        <v>-0.92498124531132786</v>
      </c>
    </row>
    <row r="50" spans="1:20" x14ac:dyDescent="0.35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x14ac:dyDescent="0.35">
      <c r="C51" s="7">
        <f>C$8</f>
        <v>43836</v>
      </c>
      <c r="D51" s="7">
        <f t="shared" ref="D51:T51" si="16">D$8</f>
        <v>43843</v>
      </c>
      <c r="E51" s="7">
        <f t="shared" si="16"/>
        <v>43850</v>
      </c>
      <c r="F51" s="7">
        <f t="shared" si="16"/>
        <v>43857</v>
      </c>
      <c r="G51" s="7">
        <f t="shared" si="16"/>
        <v>43864</v>
      </c>
      <c r="H51" s="7">
        <f t="shared" si="16"/>
        <v>43871</v>
      </c>
      <c r="I51" s="7">
        <f t="shared" si="16"/>
        <v>43878</v>
      </c>
      <c r="J51" s="7">
        <f t="shared" si="16"/>
        <v>43885</v>
      </c>
      <c r="K51" s="7">
        <f t="shared" si="16"/>
        <v>43892</v>
      </c>
      <c r="L51" s="7">
        <f t="shared" si="16"/>
        <v>43899</v>
      </c>
      <c r="M51" s="7">
        <f t="shared" si="16"/>
        <v>43906</v>
      </c>
      <c r="N51" s="7">
        <f t="shared" si="16"/>
        <v>43913</v>
      </c>
      <c r="O51" s="7">
        <f t="shared" si="16"/>
        <v>43920</v>
      </c>
      <c r="P51" s="7">
        <f t="shared" si="16"/>
        <v>43927</v>
      </c>
      <c r="Q51" s="7">
        <f t="shared" si="16"/>
        <v>43934</v>
      </c>
      <c r="R51" s="7">
        <f t="shared" si="16"/>
        <v>43941</v>
      </c>
      <c r="S51" s="7">
        <f t="shared" si="16"/>
        <v>43948</v>
      </c>
      <c r="T51" s="7">
        <f t="shared" si="16"/>
        <v>43955</v>
      </c>
    </row>
    <row r="52" spans="1:20" x14ac:dyDescent="0.35">
      <c r="A52" t="s">
        <v>13</v>
      </c>
      <c r="B52">
        <v>2019</v>
      </c>
      <c r="C52" s="10">
        <f>VLOOKUP($A52,'[1]2 2019 Data'!$C$7:$AB$237,1+'[1]3 Results'!C$4,FALSE)</f>
        <v>14388</v>
      </c>
      <c r="D52" s="10">
        <f>VLOOKUP($A52,'[1]2 2019 Data'!$C$7:$AB$237,1+'[1]3 Results'!D$4,FALSE)</f>
        <v>14607</v>
      </c>
      <c r="E52" s="10">
        <f>VLOOKUP($A52,'[1]2 2019 Data'!$C$7:$AB$237,1+'[1]3 Results'!E$4,FALSE)</f>
        <v>14570</v>
      </c>
      <c r="F52" s="10">
        <f>VLOOKUP($A52,'[1]2 2019 Data'!$C$7:$AB$237,1+'[1]3 Results'!F$4,FALSE)</f>
        <v>14780</v>
      </c>
      <c r="G52" s="10">
        <f>VLOOKUP($A52,'[1]2 2019 Data'!$C$7:$AB$237,1+'[1]3 Results'!G$4,FALSE)</f>
        <v>14946</v>
      </c>
      <c r="H52" s="10">
        <f>VLOOKUP($A52,'[1]2 2019 Data'!$C$7:$AB$237,1+'[1]3 Results'!H$4,FALSE)</f>
        <v>14999</v>
      </c>
      <c r="I52" s="10">
        <f>VLOOKUP($A52,'[1]2 2019 Data'!$C$7:$AB$237,1+'[1]3 Results'!I$4,FALSE)</f>
        <v>15011</v>
      </c>
      <c r="J52" s="10">
        <f>VLOOKUP($A52,'[1]2 2019 Data'!$C$7:$AB$237,1+'[1]3 Results'!J$4,FALSE)</f>
        <v>15084</v>
      </c>
      <c r="K52" s="10">
        <f>VLOOKUP($A52,'[1]2 2019 Data'!$C$7:$AB$237,1+'[1]3 Results'!K$4,FALSE)</f>
        <v>14937</v>
      </c>
      <c r="L52" s="10">
        <f>VLOOKUP($A52,'[1]2 2019 Data'!$C$7:$AB$237,1+'[1]3 Results'!L$4,FALSE)</f>
        <v>15061</v>
      </c>
      <c r="M52" s="10">
        <f>VLOOKUP($A52,'[1]2 2019 Data'!$C$7:$AB$237,1+'[1]3 Results'!M$4,FALSE)</f>
        <v>15040</v>
      </c>
      <c r="N52" s="10">
        <f>VLOOKUP($A52,'[1]2 2019 Data'!$C$7:$AB$237,1+'[1]3 Results'!N$4,FALSE)</f>
        <v>14748</v>
      </c>
      <c r="O52" s="10">
        <f>VLOOKUP($A52,'[1]2 2019 Data'!$C$7:$AB$237,1+'[1]3 Results'!O$4,FALSE)</f>
        <v>15101</v>
      </c>
      <c r="P52" s="10">
        <f>VLOOKUP($A52,'[1]2 2019 Data'!$C$7:$AB$237,1+'[1]3 Results'!P$4,FALSE)</f>
        <v>15535</v>
      </c>
      <c r="Q52" s="10">
        <f>VLOOKUP($A52,'[1]2 2019 Data'!$C$7:$AB$237,1+'[1]3 Results'!Q$4,FALSE)</f>
        <v>14761</v>
      </c>
      <c r="R52" s="10">
        <f>VLOOKUP($A52,'[1]2 2019 Data'!$C$7:$AB$237,1+'[1]3 Results'!R$4,FALSE)</f>
        <v>14204</v>
      </c>
      <c r="S52" s="10">
        <f>VLOOKUP($A52,'[1]2 2019 Data'!$C$7:$AB$237,1+'[1]3 Results'!S$4,FALSE)</f>
        <v>15110</v>
      </c>
      <c r="T52" s="10">
        <f>VLOOKUP($A52,'[1]2 2019 Data'!$C$7:$AB$237,1+'[1]3 Results'!T$4,FALSE)</f>
        <v>14881</v>
      </c>
    </row>
    <row r="53" spans="1:20" x14ac:dyDescent="0.35">
      <c r="B53">
        <v>2020</v>
      </c>
      <c r="C53" s="10">
        <f>VLOOKUP($A52,'[1]2 2020 Data'!$C$7:$AB$236,1+'[1]3 Results'!C$4,FALSE)</f>
        <v>13903</v>
      </c>
      <c r="D53" s="10">
        <f>VLOOKUP($A52,'[1]2 2020 Data'!$C$7:$AB$236,1+'[1]3 Results'!D$4,FALSE)</f>
        <v>14116</v>
      </c>
      <c r="E53" s="10">
        <f>VLOOKUP($A52,'[1]2 2020 Data'!$C$7:$AB$236,1+'[1]3 Results'!E$4,FALSE)</f>
        <v>14104</v>
      </c>
      <c r="F53" s="10">
        <f>VLOOKUP($A52,'[1]2 2020 Data'!$C$7:$AB$236,1+'[1]3 Results'!F$4,FALSE)</f>
        <v>14209</v>
      </c>
      <c r="G53" s="10">
        <f>VLOOKUP($A52,'[1]2 2020 Data'!$C$7:$AB$236,1+'[1]3 Results'!G$4,FALSE)</f>
        <v>14407</v>
      </c>
      <c r="H53" s="10">
        <f>VLOOKUP($A52,'[1]2 2020 Data'!$C$7:$AB$236,1+'[1]3 Results'!H$4,FALSE)</f>
        <v>14252</v>
      </c>
      <c r="I53" s="10">
        <f>VLOOKUP($A52,'[1]2 2020 Data'!$C$7:$AB$236,1+'[1]3 Results'!I$4,FALSE)</f>
        <v>14763</v>
      </c>
      <c r="J53" s="10">
        <f>VLOOKUP($A52,'[1]2 2020 Data'!$C$7:$AB$236,1+'[1]3 Results'!J$4,FALSE)</f>
        <v>14713</v>
      </c>
      <c r="K53" s="10">
        <f>VLOOKUP($A52,'[1]2 2020 Data'!$C$7:$AB$236,1+'[1]3 Results'!K$4,FALSE)</f>
        <v>14678</v>
      </c>
      <c r="L53" s="10">
        <f>VLOOKUP($A52,'[1]2 2020 Data'!$C$7:$AB$236,1+'[1]3 Results'!L$4,FALSE)</f>
        <v>14710</v>
      </c>
      <c r="M53" s="10">
        <f>VLOOKUP($A52,'[1]2 2020 Data'!$C$7:$AB$236,1+'[1]3 Results'!M$4,FALSE)</f>
        <v>14607</v>
      </c>
      <c r="N53" s="10">
        <f>VLOOKUP($A52,'[1]2 2020 Data'!$C$7:$AB$236,1+'[1]3 Results'!N$4,FALSE)</f>
        <v>12401</v>
      </c>
      <c r="O53" s="10">
        <f>VLOOKUP($A52,'[1]2 2020 Data'!$C$7:$AB$236,1+'[1]3 Results'!O$4,FALSE)</f>
        <v>5567</v>
      </c>
      <c r="P53" s="10">
        <f>VLOOKUP($A52,'[1]2 2020 Data'!$C$7:$AB$236,1+'[1]3 Results'!P$4,FALSE)</f>
        <v>3409</v>
      </c>
      <c r="Q53" s="10">
        <f>VLOOKUP($A52,'[1]2 2020 Data'!$C$7:$AB$236,1+'[1]3 Results'!Q$4,FALSE)</f>
        <v>2268</v>
      </c>
      <c r="R53" s="10">
        <f>VLOOKUP($A52,'[1]2 2020 Data'!$C$7:$AB$236,1+'[1]3 Results'!R$4,FALSE)</f>
        <v>2314</v>
      </c>
      <c r="S53" s="10">
        <f>VLOOKUP($A52,'[1]2 2020 Data'!$C$7:$AB$236,1+'[1]3 Results'!S$4,FALSE)</f>
        <v>2364</v>
      </c>
      <c r="T53" s="10">
        <f>VLOOKUP($A52,'[1]2 2020 Data'!$C$7:$AB$236,1+'[1]3 Results'!T$4,FALSE)</f>
        <v>2529</v>
      </c>
    </row>
    <row r="54" spans="1:20" x14ac:dyDescent="0.35">
      <c r="C54" s="11">
        <f>C53/C52-1</f>
        <v>-3.3708646093967176E-2</v>
      </c>
      <c r="D54" s="11">
        <f t="shared" ref="D54:T54" si="17">D53/D52-1</f>
        <v>-3.3614020675018841E-2</v>
      </c>
      <c r="E54" s="11">
        <f t="shared" si="17"/>
        <v>-3.1983527796842881E-2</v>
      </c>
      <c r="F54" s="11">
        <f t="shared" si="17"/>
        <v>-3.863328822733425E-2</v>
      </c>
      <c r="G54" s="11">
        <f t="shared" si="17"/>
        <v>-3.6063160711896192E-2</v>
      </c>
      <c r="H54" s="11">
        <f t="shared" si="17"/>
        <v>-4.9803320221348035E-2</v>
      </c>
      <c r="I54" s="11">
        <f t="shared" si="17"/>
        <v>-1.652121777363269E-2</v>
      </c>
      <c r="J54" s="11">
        <f t="shared" si="17"/>
        <v>-2.4595597984619411E-2</v>
      </c>
      <c r="K54" s="11">
        <f t="shared" si="17"/>
        <v>-1.7339492535314971E-2</v>
      </c>
      <c r="L54" s="11">
        <f t="shared" si="17"/>
        <v>-2.3305225416639042E-2</v>
      </c>
      <c r="M54" s="11">
        <f t="shared" si="17"/>
        <v>-2.8789893617021223E-2</v>
      </c>
      <c r="N54" s="11">
        <f t="shared" si="17"/>
        <v>-0.15914022240303771</v>
      </c>
      <c r="O54" s="11">
        <f t="shared" si="17"/>
        <v>-0.63134891729024567</v>
      </c>
      <c r="P54" s="11">
        <f t="shared" si="17"/>
        <v>-0.78056002574831029</v>
      </c>
      <c r="Q54" s="11">
        <f t="shared" si="17"/>
        <v>-0.84635187317932392</v>
      </c>
      <c r="R54" s="11">
        <f t="shared" si="17"/>
        <v>-0.83708814418473665</v>
      </c>
      <c r="S54" s="11">
        <f t="shared" si="17"/>
        <v>-0.84354731965585705</v>
      </c>
      <c r="T54" s="11">
        <f t="shared" si="17"/>
        <v>-0.83005174383441971</v>
      </c>
    </row>
    <row r="55" spans="1:20" x14ac:dyDescent="0.3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x14ac:dyDescent="0.35">
      <c r="C56" s="7">
        <f>C$8</f>
        <v>43836</v>
      </c>
      <c r="D56" s="7">
        <f t="shared" ref="D56:T56" si="18">D$8</f>
        <v>43843</v>
      </c>
      <c r="E56" s="7">
        <f t="shared" si="18"/>
        <v>43850</v>
      </c>
      <c r="F56" s="7">
        <f t="shared" si="18"/>
        <v>43857</v>
      </c>
      <c r="G56" s="7">
        <f t="shared" si="18"/>
        <v>43864</v>
      </c>
      <c r="H56" s="7">
        <f t="shared" si="18"/>
        <v>43871</v>
      </c>
      <c r="I56" s="7">
        <f t="shared" si="18"/>
        <v>43878</v>
      </c>
      <c r="J56" s="7">
        <f t="shared" si="18"/>
        <v>43885</v>
      </c>
      <c r="K56" s="7">
        <f t="shared" si="18"/>
        <v>43892</v>
      </c>
      <c r="L56" s="7">
        <f t="shared" si="18"/>
        <v>43899</v>
      </c>
      <c r="M56" s="7">
        <f t="shared" si="18"/>
        <v>43906</v>
      </c>
      <c r="N56" s="7">
        <f t="shared" si="18"/>
        <v>43913</v>
      </c>
      <c r="O56" s="7">
        <f t="shared" si="18"/>
        <v>43920</v>
      </c>
      <c r="P56" s="7">
        <f t="shared" si="18"/>
        <v>43927</v>
      </c>
      <c r="Q56" s="7">
        <f t="shared" si="18"/>
        <v>43934</v>
      </c>
      <c r="R56" s="7">
        <f t="shared" si="18"/>
        <v>43941</v>
      </c>
      <c r="S56" s="7">
        <f t="shared" si="18"/>
        <v>43948</v>
      </c>
      <c r="T56" s="7">
        <f t="shared" si="18"/>
        <v>43955</v>
      </c>
    </row>
    <row r="57" spans="1:20" x14ac:dyDescent="0.35">
      <c r="A57" t="s">
        <v>14</v>
      </c>
      <c r="B57">
        <v>2019</v>
      </c>
      <c r="C57" s="10">
        <f>VLOOKUP($A57,'[1]2 2019 Data'!$C$7:$AB$237,1+'[1]3 Results'!C$4,FALSE)</f>
        <v>4188</v>
      </c>
      <c r="D57" s="10">
        <f>VLOOKUP($A57,'[1]2 2019 Data'!$C$7:$AB$237,1+'[1]3 Results'!D$4,FALSE)</f>
        <v>4289</v>
      </c>
      <c r="E57" s="10">
        <f>VLOOKUP($A57,'[1]2 2019 Data'!$C$7:$AB$237,1+'[1]3 Results'!E$4,FALSE)</f>
        <v>4397</v>
      </c>
      <c r="F57" s="10">
        <f>VLOOKUP($A57,'[1]2 2019 Data'!$C$7:$AB$237,1+'[1]3 Results'!F$4,FALSE)</f>
        <v>4444</v>
      </c>
      <c r="G57" s="10">
        <f>VLOOKUP($A57,'[1]2 2019 Data'!$C$7:$AB$237,1+'[1]3 Results'!G$4,FALSE)</f>
        <v>4532</v>
      </c>
      <c r="H57" s="10">
        <f>VLOOKUP($A57,'[1]2 2019 Data'!$C$7:$AB$237,1+'[1]3 Results'!H$4,FALSE)</f>
        <v>4474</v>
      </c>
      <c r="I57" s="10">
        <f>VLOOKUP($A57,'[1]2 2019 Data'!$C$7:$AB$237,1+'[1]3 Results'!I$4,FALSE)</f>
        <v>4475</v>
      </c>
      <c r="J57" s="10">
        <f>VLOOKUP($A57,'[1]2 2019 Data'!$C$7:$AB$237,1+'[1]3 Results'!J$4,FALSE)</f>
        <v>4385</v>
      </c>
      <c r="K57" s="10">
        <f>VLOOKUP($A57,'[1]2 2019 Data'!$C$7:$AB$237,1+'[1]3 Results'!K$4,FALSE)</f>
        <v>4668</v>
      </c>
      <c r="L57" s="10">
        <f>VLOOKUP($A57,'[1]2 2019 Data'!$C$7:$AB$237,1+'[1]3 Results'!L$4,FALSE)</f>
        <v>4763</v>
      </c>
      <c r="M57" s="10">
        <f>VLOOKUP($A57,'[1]2 2019 Data'!$C$7:$AB$237,1+'[1]3 Results'!M$4,FALSE)</f>
        <v>4763</v>
      </c>
      <c r="N57" s="10">
        <f>VLOOKUP($A57,'[1]2 2019 Data'!$C$7:$AB$237,1+'[1]3 Results'!N$4,FALSE)</f>
        <v>4752</v>
      </c>
      <c r="O57" s="10">
        <f>VLOOKUP($A57,'[1]2 2019 Data'!$C$7:$AB$237,1+'[1]3 Results'!O$4,FALSE)</f>
        <v>4909</v>
      </c>
      <c r="P57" s="10">
        <f>VLOOKUP($A57,'[1]2 2019 Data'!$C$7:$AB$237,1+'[1]3 Results'!P$4,FALSE)</f>
        <v>4896</v>
      </c>
      <c r="Q57" s="10">
        <f>VLOOKUP($A57,'[1]2 2019 Data'!$C$7:$AB$237,1+'[1]3 Results'!Q$4,FALSE)</f>
        <v>4069</v>
      </c>
      <c r="R57" s="10">
        <f>VLOOKUP($A57,'[1]2 2019 Data'!$C$7:$AB$237,1+'[1]3 Results'!R$4,FALSE)</f>
        <v>4554</v>
      </c>
      <c r="S57" s="10">
        <f>VLOOKUP($A57,'[1]2 2019 Data'!$C$7:$AB$237,1+'[1]3 Results'!S$4,FALSE)</f>
        <v>4212</v>
      </c>
      <c r="T57" s="10">
        <f>VLOOKUP($A57,'[1]2 2019 Data'!$C$7:$AB$237,1+'[1]3 Results'!T$4,FALSE)</f>
        <v>4921</v>
      </c>
    </row>
    <row r="58" spans="1:20" x14ac:dyDescent="0.35">
      <c r="B58">
        <v>2020</v>
      </c>
      <c r="C58" s="10">
        <f>VLOOKUP($A57,'[1]2 2020 Data'!$C$7:$AB$236,1+'[1]3 Results'!C$4,FALSE)</f>
        <v>3608</v>
      </c>
      <c r="D58" s="10">
        <f>VLOOKUP($A57,'[1]2 2020 Data'!$C$7:$AB$236,1+'[1]3 Results'!D$4,FALSE)</f>
        <v>3926</v>
      </c>
      <c r="E58" s="10">
        <f>VLOOKUP($A57,'[1]2 2020 Data'!$C$7:$AB$236,1+'[1]3 Results'!E$4,FALSE)</f>
        <v>4054</v>
      </c>
      <c r="F58" s="10">
        <f>VLOOKUP($A57,'[1]2 2020 Data'!$C$7:$AB$236,1+'[1]3 Results'!F$4,FALSE)</f>
        <v>4134</v>
      </c>
      <c r="G58" s="10">
        <f>VLOOKUP($A57,'[1]2 2020 Data'!$C$7:$AB$236,1+'[1]3 Results'!G$4,FALSE)</f>
        <v>4274</v>
      </c>
      <c r="H58" s="10">
        <f>VLOOKUP($A57,'[1]2 2020 Data'!$C$7:$AB$236,1+'[1]3 Results'!H$4,FALSE)</f>
        <v>4232</v>
      </c>
      <c r="I58" s="10">
        <f>VLOOKUP($A57,'[1]2 2020 Data'!$C$7:$AB$236,1+'[1]3 Results'!I$4,FALSE)</f>
        <v>4188</v>
      </c>
      <c r="J58" s="10">
        <f>VLOOKUP($A57,'[1]2 2020 Data'!$C$7:$AB$236,1+'[1]3 Results'!J$4,FALSE)</f>
        <v>4169</v>
      </c>
      <c r="K58" s="10">
        <f>VLOOKUP($A57,'[1]2 2020 Data'!$C$7:$AB$236,1+'[1]3 Results'!K$4,FALSE)</f>
        <v>4445</v>
      </c>
      <c r="L58" s="10">
        <f>VLOOKUP($A57,'[1]2 2020 Data'!$C$7:$AB$236,1+'[1]3 Results'!L$4,FALSE)</f>
        <v>4460</v>
      </c>
      <c r="M58" s="10">
        <f>VLOOKUP($A57,'[1]2 2020 Data'!$C$7:$AB$236,1+'[1]3 Results'!M$4,FALSE)</f>
        <v>4092</v>
      </c>
      <c r="N58" s="10">
        <f>VLOOKUP($A57,'[1]2 2020 Data'!$C$7:$AB$236,1+'[1]3 Results'!N$4,FALSE)</f>
        <v>1647</v>
      </c>
      <c r="O58" s="10">
        <f>VLOOKUP($A57,'[1]2 2020 Data'!$C$7:$AB$236,1+'[1]3 Results'!O$4,FALSE)</f>
        <v>1126</v>
      </c>
      <c r="P58" s="10">
        <f>VLOOKUP($A57,'[1]2 2020 Data'!$C$7:$AB$236,1+'[1]3 Results'!P$4,FALSE)</f>
        <v>775</v>
      </c>
      <c r="Q58" s="10">
        <f>VLOOKUP($A57,'[1]2 2020 Data'!$C$7:$AB$236,1+'[1]3 Results'!Q$4,FALSE)</f>
        <v>635</v>
      </c>
      <c r="R58" s="10">
        <f>VLOOKUP($A57,'[1]2 2020 Data'!$C$7:$AB$236,1+'[1]3 Results'!R$4,FALSE)</f>
        <v>457</v>
      </c>
      <c r="S58" s="10">
        <f>VLOOKUP($A57,'[1]2 2020 Data'!$C$7:$AB$236,1+'[1]3 Results'!S$4,FALSE)</f>
        <v>430</v>
      </c>
      <c r="T58" s="10">
        <f>VLOOKUP($A57,'[1]2 2020 Data'!$C$7:$AB$236,1+'[1]3 Results'!T$4,FALSE)</f>
        <v>565</v>
      </c>
    </row>
    <row r="59" spans="1:20" x14ac:dyDescent="0.35">
      <c r="C59" s="11">
        <f>C58/C57-1</f>
        <v>-0.13849092645654248</v>
      </c>
      <c r="D59" s="11">
        <f t="shared" ref="D59:T59" si="19">D58/D57-1</f>
        <v>-8.4635113079972069E-2</v>
      </c>
      <c r="E59" s="11">
        <f t="shared" si="19"/>
        <v>-7.8007732544916997E-2</v>
      </c>
      <c r="F59" s="11">
        <f t="shared" si="19"/>
        <v>-6.9756975697569779E-2</v>
      </c>
      <c r="G59" s="11">
        <f t="shared" si="19"/>
        <v>-5.692850838481911E-2</v>
      </c>
      <c r="H59" s="11">
        <f t="shared" si="19"/>
        <v>-5.4090299508270046E-2</v>
      </c>
      <c r="I59" s="11">
        <f t="shared" si="19"/>
        <v>-6.4134078212290557E-2</v>
      </c>
      <c r="J59" s="11">
        <f t="shared" si="19"/>
        <v>-4.9258836944127693E-2</v>
      </c>
      <c r="K59" s="11">
        <f t="shared" si="19"/>
        <v>-4.7772065124250251E-2</v>
      </c>
      <c r="L59" s="11">
        <f t="shared" si="19"/>
        <v>-6.3615368465252953E-2</v>
      </c>
      <c r="M59" s="11">
        <f t="shared" si="19"/>
        <v>-0.14087759815242495</v>
      </c>
      <c r="N59" s="11">
        <f t="shared" si="19"/>
        <v>-0.65340909090909083</v>
      </c>
      <c r="O59" s="11">
        <f t="shared" si="19"/>
        <v>-0.77062538195151764</v>
      </c>
      <c r="P59" s="11">
        <f t="shared" si="19"/>
        <v>-0.84170751633986929</v>
      </c>
      <c r="Q59" s="11">
        <f t="shared" si="19"/>
        <v>-0.84394200049152124</v>
      </c>
      <c r="R59" s="11">
        <f t="shared" si="19"/>
        <v>-0.89964866051822567</v>
      </c>
      <c r="S59" s="11">
        <f t="shared" si="19"/>
        <v>-0.89791073124406462</v>
      </c>
      <c r="T59" s="11">
        <f t="shared" si="19"/>
        <v>-0.88518593781751675</v>
      </c>
    </row>
    <row r="60" spans="1:20" x14ac:dyDescent="0.35"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x14ac:dyDescent="0.35">
      <c r="C61" s="7">
        <f>C$8</f>
        <v>43836</v>
      </c>
      <c r="D61" s="7">
        <f t="shared" ref="D61:T61" si="20">D$8</f>
        <v>43843</v>
      </c>
      <c r="E61" s="7">
        <f t="shared" si="20"/>
        <v>43850</v>
      </c>
      <c r="F61" s="7">
        <f t="shared" si="20"/>
        <v>43857</v>
      </c>
      <c r="G61" s="7">
        <f t="shared" si="20"/>
        <v>43864</v>
      </c>
      <c r="H61" s="7">
        <f t="shared" si="20"/>
        <v>43871</v>
      </c>
      <c r="I61" s="7">
        <f t="shared" si="20"/>
        <v>43878</v>
      </c>
      <c r="J61" s="7">
        <f t="shared" si="20"/>
        <v>43885</v>
      </c>
      <c r="K61" s="7">
        <f t="shared" si="20"/>
        <v>43892</v>
      </c>
      <c r="L61" s="7">
        <f t="shared" si="20"/>
        <v>43899</v>
      </c>
      <c r="M61" s="7">
        <f t="shared" si="20"/>
        <v>43906</v>
      </c>
      <c r="N61" s="7">
        <f t="shared" si="20"/>
        <v>43913</v>
      </c>
      <c r="O61" s="7">
        <f t="shared" si="20"/>
        <v>43920</v>
      </c>
      <c r="P61" s="7">
        <f t="shared" si="20"/>
        <v>43927</v>
      </c>
      <c r="Q61" s="7">
        <f t="shared" si="20"/>
        <v>43934</v>
      </c>
      <c r="R61" s="7">
        <f t="shared" si="20"/>
        <v>43941</v>
      </c>
      <c r="S61" s="7">
        <f t="shared" si="20"/>
        <v>43948</v>
      </c>
      <c r="T61" s="7">
        <f t="shared" si="20"/>
        <v>43955</v>
      </c>
    </row>
    <row r="62" spans="1:20" x14ac:dyDescent="0.35">
      <c r="A62" t="s">
        <v>15</v>
      </c>
      <c r="B62">
        <v>2019</v>
      </c>
      <c r="C62" s="10">
        <f>VLOOKUP("United Arab Emirates",'[1]2 2019 Data'!$C$7:$AB$237,1+'[1]3 Results'!C$4,FALSE)</f>
        <v>6067</v>
      </c>
      <c r="D62" s="10">
        <f>VLOOKUP("United Arab Emirates",'[1]2 2019 Data'!$C$7:$AB$237,1+'[1]3 Results'!D$4,FALSE)</f>
        <v>5918</v>
      </c>
      <c r="E62" s="10">
        <f>VLOOKUP("United Arab Emirates",'[1]2 2019 Data'!$C$7:$AB$237,1+'[1]3 Results'!E$4,FALSE)</f>
        <v>5874</v>
      </c>
      <c r="F62" s="10">
        <f>VLOOKUP("United Arab Emirates",'[1]2 2019 Data'!$C$7:$AB$237,1+'[1]3 Results'!F$4,FALSE)</f>
        <v>5871</v>
      </c>
      <c r="G62" s="10">
        <f>VLOOKUP("United Arab Emirates",'[1]2 2019 Data'!$C$7:$AB$237,1+'[1]3 Results'!G$4,FALSE)</f>
        <v>5836</v>
      </c>
      <c r="H62" s="10">
        <f>VLOOKUP("United Arab Emirates",'[1]2 2019 Data'!$C$7:$AB$237,1+'[1]3 Results'!H$4,FALSE)</f>
        <v>5824</v>
      </c>
      <c r="I62" s="10">
        <f>VLOOKUP("United Arab Emirates",'[1]2 2019 Data'!$C$7:$AB$237,1+'[1]3 Results'!I$4,FALSE)</f>
        <v>5855</v>
      </c>
      <c r="J62" s="10">
        <f>VLOOKUP("United Arab Emirates",'[1]2 2019 Data'!$C$7:$AB$237,1+'[1]3 Results'!J$4,FALSE)</f>
        <v>5858</v>
      </c>
      <c r="K62" s="10">
        <f>VLOOKUP("United Arab Emirates",'[1]2 2019 Data'!$C$7:$AB$237,1+'[1]3 Results'!K$4,FALSE)</f>
        <v>5848</v>
      </c>
      <c r="L62" s="10">
        <f>VLOOKUP("United Arab Emirates",'[1]2 2019 Data'!$C$7:$AB$237,1+'[1]3 Results'!L$4,FALSE)</f>
        <v>5841</v>
      </c>
      <c r="M62" s="10">
        <f>VLOOKUP("United Arab Emirates",'[1]2 2019 Data'!$C$7:$AB$237,1+'[1]3 Results'!M$4,FALSE)</f>
        <v>5857</v>
      </c>
      <c r="N62" s="10">
        <f>VLOOKUP("United Arab Emirates",'[1]2 2019 Data'!$C$7:$AB$237,1+'[1]3 Results'!N$4,FALSE)</f>
        <v>5706</v>
      </c>
      <c r="O62" s="10">
        <f>VLOOKUP("United Arab Emirates",'[1]2 2019 Data'!$C$7:$AB$237,1+'[1]3 Results'!O$4,FALSE)</f>
        <v>5671</v>
      </c>
      <c r="P62" s="10">
        <f>VLOOKUP("United Arab Emirates",'[1]2 2019 Data'!$C$7:$AB$237,1+'[1]3 Results'!P$4,FALSE)</f>
        <v>5660</v>
      </c>
      <c r="Q62" s="10">
        <f>VLOOKUP("United Arab Emirates",'[1]2 2019 Data'!$C$7:$AB$237,1+'[1]3 Results'!Q$4,FALSE)</f>
        <v>5102</v>
      </c>
      <c r="R62" s="10">
        <f>VLOOKUP("United Arab Emirates",'[1]2 2019 Data'!$C$7:$AB$237,1+'[1]3 Results'!R$4,FALSE)</f>
        <v>5028</v>
      </c>
      <c r="S62" s="10">
        <f>VLOOKUP("United Arab Emirates",'[1]2 2019 Data'!$C$7:$AB$237,1+'[1]3 Results'!S$4,FALSE)</f>
        <v>4968</v>
      </c>
      <c r="T62" s="10">
        <f>VLOOKUP("United Arab Emirates",'[1]2 2019 Data'!$C$7:$AB$237,1+'[1]3 Results'!T$4,FALSE)</f>
        <v>4872</v>
      </c>
    </row>
    <row r="63" spans="1:20" x14ac:dyDescent="0.35">
      <c r="B63">
        <v>2020</v>
      </c>
      <c r="C63" s="10">
        <f>VLOOKUP("United Arab Emirates",'[1]2 2020 Data'!$C$7:$AB$236,1+'[1]3 Results'!C$4,FALSE)</f>
        <v>5921</v>
      </c>
      <c r="D63" s="10">
        <f>VLOOKUP("United Arab Emirates",'[1]2 2020 Data'!$C$7:$AB$236,1+'[1]3 Results'!D$4,FALSE)</f>
        <v>5837</v>
      </c>
      <c r="E63" s="10">
        <f>VLOOKUP("United Arab Emirates",'[1]2 2020 Data'!$C$7:$AB$236,1+'[1]3 Results'!E$4,FALSE)</f>
        <v>5768</v>
      </c>
      <c r="F63" s="10">
        <f>VLOOKUP("United Arab Emirates",'[1]2 2020 Data'!$C$7:$AB$236,1+'[1]3 Results'!F$4,FALSE)</f>
        <v>5745</v>
      </c>
      <c r="G63" s="10">
        <f>VLOOKUP("United Arab Emirates",'[1]2 2020 Data'!$C$7:$AB$236,1+'[1]3 Results'!G$4,FALSE)</f>
        <v>5723</v>
      </c>
      <c r="H63" s="10">
        <f>VLOOKUP("United Arab Emirates",'[1]2 2020 Data'!$C$7:$AB$236,1+'[1]3 Results'!H$4,FALSE)</f>
        <v>5629</v>
      </c>
      <c r="I63" s="10">
        <f>VLOOKUP("United Arab Emirates",'[1]2 2020 Data'!$C$7:$AB$236,1+'[1]3 Results'!I$4,FALSE)</f>
        <v>5649</v>
      </c>
      <c r="J63" s="10">
        <f>VLOOKUP("United Arab Emirates",'[1]2 2020 Data'!$C$7:$AB$236,1+'[1]3 Results'!J$4,FALSE)</f>
        <v>5663</v>
      </c>
      <c r="K63" s="10">
        <f>VLOOKUP("United Arab Emirates",'[1]2 2020 Data'!$C$7:$AB$236,1+'[1]3 Results'!K$4,FALSE)</f>
        <v>5677</v>
      </c>
      <c r="L63" s="10">
        <f>VLOOKUP("United Arab Emirates",'[1]2 2020 Data'!$C$7:$AB$236,1+'[1]3 Results'!L$4,FALSE)</f>
        <v>5354</v>
      </c>
      <c r="M63" s="10">
        <f>VLOOKUP("United Arab Emirates",'[1]2 2020 Data'!$C$7:$AB$236,1+'[1]3 Results'!M$4,FALSE)</f>
        <v>4426</v>
      </c>
      <c r="N63" s="10">
        <f>VLOOKUP("United Arab Emirates",'[1]2 2020 Data'!$C$7:$AB$236,1+'[1]3 Results'!N$4,FALSE)</f>
        <v>2420</v>
      </c>
      <c r="O63" s="10">
        <f>VLOOKUP("United Arab Emirates",'[1]2 2020 Data'!$C$7:$AB$236,1+'[1]3 Results'!O$4,FALSE)</f>
        <v>808</v>
      </c>
      <c r="P63" s="10">
        <f>VLOOKUP("United Arab Emirates",'[1]2 2020 Data'!$C$7:$AB$236,1+'[1]3 Results'!P$4,FALSE)</f>
        <v>883</v>
      </c>
      <c r="Q63" s="10">
        <f>VLOOKUP("United Arab Emirates",'[1]2 2020 Data'!$C$7:$AB$236,1+'[1]3 Results'!Q$4,FALSE)</f>
        <v>1098</v>
      </c>
      <c r="R63" s="10">
        <f>VLOOKUP("United Arab Emirates",'[1]2 2020 Data'!$C$7:$AB$236,1+'[1]3 Results'!R$4,FALSE)</f>
        <v>1019</v>
      </c>
      <c r="S63" s="10">
        <f>VLOOKUP("United Arab Emirates",'[1]2 2020 Data'!$C$7:$AB$236,1+'[1]3 Results'!S$4,FALSE)</f>
        <v>925</v>
      </c>
      <c r="T63" s="10">
        <f>VLOOKUP("United Arab Emirates",'[1]2 2020 Data'!$C$7:$AB$236,1+'[1]3 Results'!T$4,FALSE)</f>
        <v>1068</v>
      </c>
    </row>
    <row r="64" spans="1:20" x14ac:dyDescent="0.35">
      <c r="C64" s="11">
        <f>C63/C62-1</f>
        <v>-2.4064611834514582E-2</v>
      </c>
      <c r="D64" s="11">
        <f t="shared" ref="D64:T64" si="21">D63/D62-1</f>
        <v>-1.3687056437985845E-2</v>
      </c>
      <c r="E64" s="11">
        <f t="shared" si="21"/>
        <v>-1.8045624787197845E-2</v>
      </c>
      <c r="F64" s="11">
        <f t="shared" si="21"/>
        <v>-2.1461420541645349E-2</v>
      </c>
      <c r="G64" s="11">
        <f t="shared" si="21"/>
        <v>-1.9362577107607915E-2</v>
      </c>
      <c r="H64" s="11">
        <f t="shared" si="21"/>
        <v>-3.3482142857142905E-2</v>
      </c>
      <c r="I64" s="11">
        <f t="shared" si="21"/>
        <v>-3.5183603757472204E-2</v>
      </c>
      <c r="J64" s="11">
        <f t="shared" si="21"/>
        <v>-3.328781153977467E-2</v>
      </c>
      <c r="K64" s="11">
        <f t="shared" si="21"/>
        <v>-2.9240766073871383E-2</v>
      </c>
      <c r="L64" s="11">
        <f t="shared" si="21"/>
        <v>-8.3376134223591802E-2</v>
      </c>
      <c r="M64" s="11">
        <f t="shared" si="21"/>
        <v>-0.2443230322690797</v>
      </c>
      <c r="N64" s="11">
        <f t="shared" si="21"/>
        <v>-0.57588503329828256</v>
      </c>
      <c r="O64" s="11">
        <f t="shared" si="21"/>
        <v>-0.85752071944983244</v>
      </c>
      <c r="P64" s="11">
        <f t="shared" si="21"/>
        <v>-0.84399293286219079</v>
      </c>
      <c r="Q64" s="11">
        <f t="shared" si="21"/>
        <v>-0.78479027832222659</v>
      </c>
      <c r="R64" s="11">
        <f t="shared" si="21"/>
        <v>-0.79733492442322995</v>
      </c>
      <c r="S64" s="11">
        <f t="shared" si="21"/>
        <v>-0.81380837359098224</v>
      </c>
      <c r="T64" s="11">
        <f t="shared" si="21"/>
        <v>-0.78078817733990147</v>
      </c>
    </row>
    <row r="65" spans="1:20" x14ac:dyDescent="0.35"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35">
      <c r="C66" s="7">
        <f>C$8</f>
        <v>43836</v>
      </c>
      <c r="D66" s="7">
        <f t="shared" ref="D66:T66" si="22">D$8</f>
        <v>43843</v>
      </c>
      <c r="E66" s="7">
        <f t="shared" si="22"/>
        <v>43850</v>
      </c>
      <c r="F66" s="7">
        <f t="shared" si="22"/>
        <v>43857</v>
      </c>
      <c r="G66" s="7">
        <f t="shared" si="22"/>
        <v>43864</v>
      </c>
      <c r="H66" s="7">
        <f t="shared" si="22"/>
        <v>43871</v>
      </c>
      <c r="I66" s="7">
        <f t="shared" si="22"/>
        <v>43878</v>
      </c>
      <c r="J66" s="7">
        <f t="shared" si="22"/>
        <v>43885</v>
      </c>
      <c r="K66" s="7">
        <f t="shared" si="22"/>
        <v>43892</v>
      </c>
      <c r="L66" s="7">
        <f t="shared" si="22"/>
        <v>43899</v>
      </c>
      <c r="M66" s="7">
        <f t="shared" si="22"/>
        <v>43906</v>
      </c>
      <c r="N66" s="7">
        <f t="shared" si="22"/>
        <v>43913</v>
      </c>
      <c r="O66" s="7">
        <f t="shared" si="22"/>
        <v>43920</v>
      </c>
      <c r="P66" s="7">
        <f t="shared" si="22"/>
        <v>43927</v>
      </c>
      <c r="Q66" s="7">
        <f t="shared" si="22"/>
        <v>43934</v>
      </c>
      <c r="R66" s="7">
        <f t="shared" si="22"/>
        <v>43941</v>
      </c>
      <c r="S66" s="7">
        <f t="shared" si="22"/>
        <v>43948</v>
      </c>
      <c r="T66" s="7">
        <f t="shared" si="22"/>
        <v>43955</v>
      </c>
    </row>
    <row r="67" spans="1:20" x14ac:dyDescent="0.35">
      <c r="A67" t="s">
        <v>16</v>
      </c>
      <c r="B67">
        <v>2019</v>
      </c>
      <c r="C67" s="10">
        <f>VLOOKUP("Korea Republic of",'[1]2 2019 Data'!$C$7:$AB$237,1+'[1]3 Results'!C$4,FALSE)</f>
        <v>8503</v>
      </c>
      <c r="D67" s="10">
        <f>VLOOKUP("Korea Republic of",'[1]2 2019 Data'!$C$7:$AB$237,1+'[1]3 Results'!D$4,FALSE)</f>
        <v>8467</v>
      </c>
      <c r="E67" s="10">
        <f>VLOOKUP("Korea Republic of",'[1]2 2019 Data'!$C$7:$AB$237,1+'[1]3 Results'!E$4,FALSE)</f>
        <v>8506</v>
      </c>
      <c r="F67" s="10">
        <f>VLOOKUP("Korea Republic of",'[1]2 2019 Data'!$C$7:$AB$237,1+'[1]3 Results'!F$4,FALSE)</f>
        <v>8545</v>
      </c>
      <c r="G67" s="10">
        <f>VLOOKUP("Korea Republic of",'[1]2 2019 Data'!$C$7:$AB$237,1+'[1]3 Results'!G$4,FALSE)</f>
        <v>8607</v>
      </c>
      <c r="H67" s="10">
        <f>VLOOKUP("Korea Republic of",'[1]2 2019 Data'!$C$7:$AB$237,1+'[1]3 Results'!H$4,FALSE)</f>
        <v>8501</v>
      </c>
      <c r="I67" s="10">
        <f>VLOOKUP("Korea Republic of",'[1]2 2019 Data'!$C$7:$AB$237,1+'[1]3 Results'!I$4,FALSE)</f>
        <v>8527</v>
      </c>
      <c r="J67" s="10">
        <f>VLOOKUP("Korea Republic of",'[1]2 2019 Data'!$C$7:$AB$237,1+'[1]3 Results'!J$4,FALSE)</f>
        <v>8520</v>
      </c>
      <c r="K67" s="10">
        <f>VLOOKUP("Korea Republic of",'[1]2 2019 Data'!$C$7:$AB$237,1+'[1]3 Results'!K$4,FALSE)</f>
        <v>8394</v>
      </c>
      <c r="L67" s="10">
        <f>VLOOKUP("Korea Republic of",'[1]2 2019 Data'!$C$7:$AB$237,1+'[1]3 Results'!L$4,FALSE)</f>
        <v>8372</v>
      </c>
      <c r="M67" s="10">
        <f>VLOOKUP("Korea Republic of",'[1]2 2019 Data'!$C$7:$AB$237,1+'[1]3 Results'!M$4,FALSE)</f>
        <v>8317</v>
      </c>
      <c r="N67" s="10">
        <f>VLOOKUP("Korea Republic of",'[1]2 2019 Data'!$C$7:$AB$237,1+'[1]3 Results'!N$4,FALSE)</f>
        <v>8357</v>
      </c>
      <c r="O67" s="10">
        <f>VLOOKUP("Korea Republic of",'[1]2 2019 Data'!$C$7:$AB$237,1+'[1]3 Results'!O$4,FALSE)</f>
        <v>8407</v>
      </c>
      <c r="P67" s="10">
        <f>VLOOKUP("Korea Republic of",'[1]2 2019 Data'!$C$7:$AB$237,1+'[1]3 Results'!P$4,FALSE)</f>
        <v>8475</v>
      </c>
      <c r="Q67" s="10">
        <f>VLOOKUP("Korea Republic of",'[1]2 2019 Data'!$C$7:$AB$237,1+'[1]3 Results'!Q$4,FALSE)</f>
        <v>8507</v>
      </c>
      <c r="R67" s="10">
        <f>VLOOKUP("Korea Republic of",'[1]2 2019 Data'!$C$7:$AB$237,1+'[1]3 Results'!R$4,FALSE)</f>
        <v>8562</v>
      </c>
      <c r="S67" s="10">
        <f>VLOOKUP("Korea Republic of",'[1]2 2019 Data'!$C$7:$AB$237,1+'[1]3 Results'!S$4,FALSE)</f>
        <v>8647</v>
      </c>
      <c r="T67" s="10">
        <f>VLOOKUP("Korea Republic of",'[1]2 2019 Data'!$C$7:$AB$237,1+'[1]3 Results'!T$4,FALSE)</f>
        <v>8668</v>
      </c>
    </row>
    <row r="68" spans="1:20" x14ac:dyDescent="0.35">
      <c r="B68">
        <v>2020</v>
      </c>
      <c r="C68" s="10">
        <f>VLOOKUP("Korea Republic of",'[1]2 2020 Data'!$C$7:$AB$236,1+'[1]3 Results'!C$4,FALSE)</f>
        <v>8655</v>
      </c>
      <c r="D68" s="10">
        <f>VLOOKUP("Korea Republic of",'[1]2 2020 Data'!$C$7:$AB$236,1+'[1]3 Results'!D$4,FALSE)</f>
        <v>8643</v>
      </c>
      <c r="E68" s="10">
        <f>VLOOKUP("Korea Republic of",'[1]2 2020 Data'!$C$7:$AB$236,1+'[1]3 Results'!E$4,FALSE)</f>
        <v>8793</v>
      </c>
      <c r="F68" s="10">
        <f>VLOOKUP("Korea Republic of",'[1]2 2020 Data'!$C$7:$AB$236,1+'[1]3 Results'!F$4,FALSE)</f>
        <v>8663</v>
      </c>
      <c r="G68" s="10">
        <f>VLOOKUP("Korea Republic of",'[1]2 2020 Data'!$C$7:$AB$236,1+'[1]3 Results'!G$4,FALSE)</f>
        <v>8316</v>
      </c>
      <c r="H68" s="10">
        <f>VLOOKUP("Korea Republic of",'[1]2 2020 Data'!$C$7:$AB$236,1+'[1]3 Results'!H$4,FALSE)</f>
        <v>7708</v>
      </c>
      <c r="I68" s="10">
        <f>VLOOKUP("Korea Republic of",'[1]2 2020 Data'!$C$7:$AB$236,1+'[1]3 Results'!I$4,FALSE)</f>
        <v>7185</v>
      </c>
      <c r="J68" s="10">
        <f>VLOOKUP("Korea Republic of",'[1]2 2020 Data'!$C$7:$AB$236,1+'[1]3 Results'!J$4,FALSE)</f>
        <v>6998</v>
      </c>
      <c r="K68" s="10">
        <f>VLOOKUP("Korea Republic of",'[1]2 2020 Data'!$C$7:$AB$236,1+'[1]3 Results'!K$4,FALSE)</f>
        <v>5532</v>
      </c>
      <c r="L68" s="10">
        <f>VLOOKUP("Korea Republic of",'[1]2 2020 Data'!$C$7:$AB$236,1+'[1]3 Results'!L$4,FALSE)</f>
        <v>4014</v>
      </c>
      <c r="M68" s="10">
        <f>VLOOKUP("Korea Republic of",'[1]2 2020 Data'!$C$7:$AB$236,1+'[1]3 Results'!M$4,FALSE)</f>
        <v>3649</v>
      </c>
      <c r="N68" s="10">
        <f>VLOOKUP("Korea Republic of",'[1]2 2020 Data'!$C$7:$AB$236,1+'[1]3 Results'!N$4,FALSE)</f>
        <v>3700</v>
      </c>
      <c r="O68" s="10">
        <f>VLOOKUP("Korea Republic of",'[1]2 2020 Data'!$C$7:$AB$236,1+'[1]3 Results'!O$4,FALSE)</f>
        <v>3652</v>
      </c>
      <c r="P68" s="10">
        <f>VLOOKUP("Korea Republic of",'[1]2 2020 Data'!$C$7:$AB$236,1+'[1]3 Results'!P$4,FALSE)</f>
        <v>3451</v>
      </c>
      <c r="Q68" s="10">
        <f>VLOOKUP("Korea Republic of",'[1]2 2020 Data'!$C$7:$AB$236,1+'[1]3 Results'!Q$4,FALSE)</f>
        <v>3364</v>
      </c>
      <c r="R68" s="10">
        <f>VLOOKUP("Korea Republic of",'[1]2 2020 Data'!$C$7:$AB$236,1+'[1]3 Results'!R$4,FALSE)</f>
        <v>3525</v>
      </c>
      <c r="S68" s="10">
        <f>VLOOKUP("Korea Republic of",'[1]2 2020 Data'!$C$7:$AB$236,1+'[1]3 Results'!S$4,FALSE)</f>
        <v>4455</v>
      </c>
      <c r="T68" s="10">
        <f>VLOOKUP("Korea Republic of",'[1]2 2020 Data'!$C$7:$AB$236,1+'[1]3 Results'!T$4,FALSE)</f>
        <v>4380</v>
      </c>
    </row>
    <row r="69" spans="1:20" x14ac:dyDescent="0.35">
      <c r="C69" s="11">
        <f>C68/C67-1</f>
        <v>1.787604374926488E-2</v>
      </c>
      <c r="D69" s="11">
        <f t="shared" ref="D69:T69" si="23">D68/D67-1</f>
        <v>2.0786583205385512E-2</v>
      </c>
      <c r="E69" s="11">
        <f t="shared" si="23"/>
        <v>3.3740888784387524E-2</v>
      </c>
      <c r="F69" s="11">
        <f t="shared" si="23"/>
        <v>1.3809245172615503E-2</v>
      </c>
      <c r="G69" s="11">
        <f t="shared" si="23"/>
        <v>-3.3809689787382413E-2</v>
      </c>
      <c r="H69" s="11">
        <f t="shared" si="23"/>
        <v>-9.3283143159628268E-2</v>
      </c>
      <c r="I69" s="11">
        <f t="shared" si="23"/>
        <v>-0.15738243227395332</v>
      </c>
      <c r="J69" s="11">
        <f t="shared" si="23"/>
        <v>-0.17863849765258211</v>
      </c>
      <c r="K69" s="11">
        <f t="shared" si="23"/>
        <v>-0.34095782701929955</v>
      </c>
      <c r="L69" s="11">
        <f t="shared" si="23"/>
        <v>-0.52054467271858584</v>
      </c>
      <c r="M69" s="11">
        <f t="shared" si="23"/>
        <v>-0.56126006973668385</v>
      </c>
      <c r="N69" s="11">
        <f t="shared" si="23"/>
        <v>-0.55725738901519684</v>
      </c>
      <c r="O69" s="11">
        <f t="shared" si="23"/>
        <v>-0.56560009515879628</v>
      </c>
      <c r="P69" s="11">
        <f t="shared" si="23"/>
        <v>-0.59280235988200591</v>
      </c>
      <c r="Q69" s="11">
        <f t="shared" si="23"/>
        <v>-0.60456094980604203</v>
      </c>
      <c r="R69" s="11">
        <f t="shared" si="23"/>
        <v>-0.5882971268395234</v>
      </c>
      <c r="S69" s="11">
        <f t="shared" si="23"/>
        <v>-0.48479241355383373</v>
      </c>
      <c r="T69" s="11">
        <f t="shared" si="23"/>
        <v>-0.49469312413474853</v>
      </c>
    </row>
    <row r="70" spans="1:20" x14ac:dyDescent="0.35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35">
      <c r="C71" s="7">
        <f>C$8</f>
        <v>43836</v>
      </c>
      <c r="D71" s="7">
        <f t="shared" ref="D71:T71" si="24">D$8</f>
        <v>43843</v>
      </c>
      <c r="E71" s="7">
        <f t="shared" si="24"/>
        <v>43850</v>
      </c>
      <c r="F71" s="7">
        <f t="shared" si="24"/>
        <v>43857</v>
      </c>
      <c r="G71" s="7">
        <f t="shared" si="24"/>
        <v>43864</v>
      </c>
      <c r="H71" s="7">
        <f t="shared" si="24"/>
        <v>43871</v>
      </c>
      <c r="I71" s="7">
        <f t="shared" si="24"/>
        <v>43878</v>
      </c>
      <c r="J71" s="7">
        <f t="shared" si="24"/>
        <v>43885</v>
      </c>
      <c r="K71" s="7">
        <f t="shared" si="24"/>
        <v>43892</v>
      </c>
      <c r="L71" s="7">
        <f t="shared" si="24"/>
        <v>43899</v>
      </c>
      <c r="M71" s="7">
        <f t="shared" si="24"/>
        <v>43906</v>
      </c>
      <c r="N71" s="7">
        <f t="shared" si="24"/>
        <v>43913</v>
      </c>
      <c r="O71" s="7">
        <f t="shared" si="24"/>
        <v>43920</v>
      </c>
      <c r="P71" s="7">
        <f t="shared" si="24"/>
        <v>43927</v>
      </c>
      <c r="Q71" s="7">
        <f t="shared" si="24"/>
        <v>43934</v>
      </c>
      <c r="R71" s="7">
        <f t="shared" si="24"/>
        <v>43941</v>
      </c>
      <c r="S71" s="7">
        <f t="shared" si="24"/>
        <v>43948</v>
      </c>
      <c r="T71" s="7">
        <f t="shared" si="24"/>
        <v>43955</v>
      </c>
    </row>
    <row r="72" spans="1:20" x14ac:dyDescent="0.35">
      <c r="A72" t="s">
        <v>17</v>
      </c>
      <c r="B72">
        <v>2019</v>
      </c>
      <c r="C72" s="10">
        <f>VLOOKUP($A72,'[1]2 2019 Data'!$C$7:$AB$237,1+'[1]3 Results'!C$4,FALSE)</f>
        <v>218070</v>
      </c>
      <c r="D72" s="10">
        <f>VLOOKUP($A72,'[1]2 2019 Data'!$C$7:$AB$237,1+'[1]3 Results'!D$4,FALSE)</f>
        <v>214262</v>
      </c>
      <c r="E72" s="10">
        <f>VLOOKUP($A72,'[1]2 2019 Data'!$C$7:$AB$237,1+'[1]3 Results'!E$4,FALSE)</f>
        <v>216577</v>
      </c>
      <c r="F72" s="10">
        <f>VLOOKUP($A72,'[1]2 2019 Data'!$C$7:$AB$237,1+'[1]3 Results'!F$4,FALSE)</f>
        <v>213778</v>
      </c>
      <c r="G72" s="10">
        <f>VLOOKUP($A72,'[1]2 2019 Data'!$C$7:$AB$237,1+'[1]3 Results'!G$4,FALSE)</f>
        <v>217272</v>
      </c>
      <c r="H72" s="10">
        <f>VLOOKUP($A72,'[1]2 2019 Data'!$C$7:$AB$237,1+'[1]3 Results'!H$4,FALSE)</f>
        <v>218831</v>
      </c>
      <c r="I72" s="10">
        <f>VLOOKUP($A72,'[1]2 2019 Data'!$C$7:$AB$237,1+'[1]3 Results'!I$4,FALSE)</f>
        <v>224524</v>
      </c>
      <c r="J72" s="10">
        <f>VLOOKUP($A72,'[1]2 2019 Data'!$C$7:$AB$237,1+'[1]3 Results'!J$4,FALSE)</f>
        <v>226780</v>
      </c>
      <c r="K72" s="10">
        <f>VLOOKUP($A72,'[1]2 2019 Data'!$C$7:$AB$237,1+'[1]3 Results'!K$4,FALSE)</f>
        <v>235765</v>
      </c>
      <c r="L72" s="10">
        <f>VLOOKUP($A72,'[1]2 2019 Data'!$C$7:$AB$237,1+'[1]3 Results'!L$4,FALSE)</f>
        <v>239663</v>
      </c>
      <c r="M72" s="10">
        <f>VLOOKUP($A72,'[1]2 2019 Data'!$C$7:$AB$237,1+'[1]3 Results'!M$4,FALSE)</f>
        <v>239077</v>
      </c>
      <c r="N72" s="10">
        <f>VLOOKUP($A72,'[1]2 2019 Data'!$C$7:$AB$237,1+'[1]3 Results'!N$4,FALSE)</f>
        <v>238824</v>
      </c>
      <c r="O72" s="10">
        <f>VLOOKUP($A72,'[1]2 2019 Data'!$C$7:$AB$237,1+'[1]3 Results'!O$4,FALSE)</f>
        <v>238423</v>
      </c>
      <c r="P72" s="10">
        <f>VLOOKUP($A72,'[1]2 2019 Data'!$C$7:$AB$237,1+'[1]3 Results'!P$4,FALSE)</f>
        <v>237149</v>
      </c>
      <c r="Q72" s="10">
        <f>VLOOKUP($A72,'[1]2 2019 Data'!$C$7:$AB$237,1+'[1]3 Results'!Q$4,FALSE)</f>
        <v>235512</v>
      </c>
      <c r="R72" s="10">
        <f>VLOOKUP($A72,'[1]2 2019 Data'!$C$7:$AB$237,1+'[1]3 Results'!R$4,FALSE)</f>
        <v>237132</v>
      </c>
      <c r="S72" s="10">
        <f>VLOOKUP($A72,'[1]2 2019 Data'!$C$7:$AB$237,1+'[1]3 Results'!S$4,FALSE)</f>
        <v>238291</v>
      </c>
      <c r="T72" s="10">
        <f>VLOOKUP($A72,'[1]2 2019 Data'!$C$7:$AB$237,1+'[1]3 Results'!T$4,FALSE)</f>
        <v>239612</v>
      </c>
    </row>
    <row r="73" spans="1:20" x14ac:dyDescent="0.35">
      <c r="B73">
        <v>2020</v>
      </c>
      <c r="C73" s="10">
        <f>VLOOKUP($A72,'[1]2 2020 Data'!$C$7:$AB$236,1+'[1]3 Results'!C$4,FALSE)</f>
        <v>221643</v>
      </c>
      <c r="D73" s="10">
        <f>VLOOKUP($A72,'[1]2 2020 Data'!$C$7:$AB$236,1+'[1]3 Results'!D$4,FALSE)</f>
        <v>217001</v>
      </c>
      <c r="E73" s="10">
        <f>VLOOKUP($A72,'[1]2 2020 Data'!$C$7:$AB$236,1+'[1]3 Results'!E$4,FALSE)</f>
        <v>219912</v>
      </c>
      <c r="F73" s="10">
        <f>VLOOKUP($A72,'[1]2 2020 Data'!$C$7:$AB$236,1+'[1]3 Results'!F$4,FALSE)</f>
        <v>218473</v>
      </c>
      <c r="G73" s="10">
        <f>VLOOKUP($A72,'[1]2 2020 Data'!$C$7:$AB$236,1+'[1]3 Results'!G$4,FALSE)</f>
        <v>220628</v>
      </c>
      <c r="H73" s="10">
        <f>VLOOKUP($A72,'[1]2 2020 Data'!$C$7:$AB$236,1+'[1]3 Results'!H$4,FALSE)</f>
        <v>221782</v>
      </c>
      <c r="I73" s="10">
        <f>VLOOKUP($A72,'[1]2 2020 Data'!$C$7:$AB$236,1+'[1]3 Results'!I$4,FALSE)</f>
        <v>227852</v>
      </c>
      <c r="J73" s="10">
        <f>VLOOKUP($A72,'[1]2 2020 Data'!$C$7:$AB$236,1+'[1]3 Results'!J$4,FALSE)</f>
        <v>228230</v>
      </c>
      <c r="K73" s="10">
        <f>VLOOKUP($A72,'[1]2 2020 Data'!$C$7:$AB$236,1+'[1]3 Results'!K$4,FALSE)</f>
        <v>230771</v>
      </c>
      <c r="L73" s="10">
        <f>VLOOKUP($A72,'[1]2 2020 Data'!$C$7:$AB$236,1+'[1]3 Results'!L$4,FALSE)</f>
        <v>236489</v>
      </c>
      <c r="M73" s="10">
        <f>VLOOKUP($A72,'[1]2 2020 Data'!$C$7:$AB$236,1+'[1]3 Results'!M$4,FALSE)</f>
        <v>237920</v>
      </c>
      <c r="N73" s="10">
        <f>VLOOKUP($A72,'[1]2 2020 Data'!$C$7:$AB$236,1+'[1]3 Results'!N$4,FALSE)</f>
        <v>227433</v>
      </c>
      <c r="O73" s="10">
        <f>VLOOKUP($A72,'[1]2 2020 Data'!$C$7:$AB$236,1+'[1]3 Results'!O$4,FALSE)</f>
        <v>183691</v>
      </c>
      <c r="P73" s="10">
        <f>VLOOKUP($A72,'[1]2 2020 Data'!$C$7:$AB$236,1+'[1]3 Results'!P$4,FALSE)</f>
        <v>129861</v>
      </c>
      <c r="Q73" s="10">
        <f>VLOOKUP($A72,'[1]2 2020 Data'!$C$7:$AB$236,1+'[1]3 Results'!Q$4,FALSE)</f>
        <v>98955</v>
      </c>
      <c r="R73" s="10">
        <f>VLOOKUP($A72,'[1]2 2020 Data'!$C$7:$AB$236,1+'[1]3 Results'!R$4,FALSE)</f>
        <v>93056</v>
      </c>
      <c r="S73" s="10">
        <f>VLOOKUP($A72,'[1]2 2020 Data'!$C$7:$AB$236,1+'[1]3 Results'!S$4,FALSE)</f>
        <v>86908</v>
      </c>
      <c r="T73" s="10">
        <f>VLOOKUP($A72,'[1]2 2020 Data'!$C$7:$AB$236,1+'[1]3 Results'!T$4,FALSE)</f>
        <v>61006</v>
      </c>
    </row>
    <row r="74" spans="1:20" x14ac:dyDescent="0.35">
      <c r="C74" s="11">
        <f>C73/C72-1</f>
        <v>1.6384647131654884E-2</v>
      </c>
      <c r="D74" s="11">
        <f t="shared" ref="D74:T74" si="25">D73/D72-1</f>
        <v>1.2783414697893125E-2</v>
      </c>
      <c r="E74" s="11">
        <f t="shared" si="25"/>
        <v>1.5398680376955909E-2</v>
      </c>
      <c r="F74" s="11">
        <f t="shared" si="25"/>
        <v>2.1962035382499634E-2</v>
      </c>
      <c r="G74" s="11">
        <f t="shared" si="25"/>
        <v>1.5446076806951758E-2</v>
      </c>
      <c r="H74" s="11">
        <f t="shared" si="25"/>
        <v>1.3485292303192953E-2</v>
      </c>
      <c r="I74" s="11">
        <f t="shared" si="25"/>
        <v>1.4822468867470739E-2</v>
      </c>
      <c r="J74" s="11">
        <f t="shared" si="25"/>
        <v>6.3938618925831747E-3</v>
      </c>
      <c r="K74" s="11">
        <f t="shared" si="25"/>
        <v>-2.1182109303755858E-2</v>
      </c>
      <c r="L74" s="11">
        <f t="shared" si="25"/>
        <v>-1.3243596216353848E-2</v>
      </c>
      <c r="M74" s="11">
        <f t="shared" si="25"/>
        <v>-4.839445032353562E-3</v>
      </c>
      <c r="N74" s="11">
        <f t="shared" si="25"/>
        <v>-4.7696211436036529E-2</v>
      </c>
      <c r="O74" s="11">
        <f t="shared" si="25"/>
        <v>-0.22955838992043553</v>
      </c>
      <c r="P74" s="11">
        <f t="shared" si="25"/>
        <v>-0.45240755811747047</v>
      </c>
      <c r="Q74" s="11">
        <f t="shared" si="25"/>
        <v>-0.57983032711708959</v>
      </c>
      <c r="R74" s="11">
        <f t="shared" si="25"/>
        <v>-0.60757721437848966</v>
      </c>
      <c r="S74" s="11">
        <f t="shared" si="25"/>
        <v>-0.63528626763075402</v>
      </c>
      <c r="T74" s="11">
        <f t="shared" si="25"/>
        <v>-0.74539672470493967</v>
      </c>
    </row>
    <row r="76" spans="1:20" x14ac:dyDescent="0.35">
      <c r="C76" s="7">
        <f>C$8</f>
        <v>43836</v>
      </c>
      <c r="D76" s="7">
        <f t="shared" ref="D76:T76" si="26">D$8</f>
        <v>43843</v>
      </c>
      <c r="E76" s="7">
        <f t="shared" si="26"/>
        <v>43850</v>
      </c>
      <c r="F76" s="7">
        <f t="shared" si="26"/>
        <v>43857</v>
      </c>
      <c r="G76" s="7">
        <f t="shared" si="26"/>
        <v>43864</v>
      </c>
      <c r="H76" s="7">
        <f t="shared" si="26"/>
        <v>43871</v>
      </c>
      <c r="I76" s="7">
        <f t="shared" si="26"/>
        <v>43878</v>
      </c>
      <c r="J76" s="7">
        <f t="shared" si="26"/>
        <v>43885</v>
      </c>
      <c r="K76" s="7">
        <f t="shared" si="26"/>
        <v>43892</v>
      </c>
      <c r="L76" s="7">
        <f t="shared" si="26"/>
        <v>43899</v>
      </c>
      <c r="M76" s="7">
        <f t="shared" si="26"/>
        <v>43906</v>
      </c>
      <c r="N76" s="7">
        <f t="shared" si="26"/>
        <v>43913</v>
      </c>
      <c r="O76" s="7">
        <f t="shared" si="26"/>
        <v>43920</v>
      </c>
      <c r="P76" s="7">
        <f t="shared" si="26"/>
        <v>43927</v>
      </c>
      <c r="Q76" s="7">
        <f t="shared" si="26"/>
        <v>43934</v>
      </c>
      <c r="R76" s="7">
        <f t="shared" si="26"/>
        <v>43941</v>
      </c>
      <c r="S76" s="7">
        <f t="shared" si="26"/>
        <v>43948</v>
      </c>
      <c r="T76" s="7">
        <f t="shared" si="26"/>
        <v>43955</v>
      </c>
    </row>
    <row r="77" spans="1:20" x14ac:dyDescent="0.35">
      <c r="A77" t="s">
        <v>18</v>
      </c>
      <c r="B77">
        <v>2019</v>
      </c>
      <c r="C77" s="10">
        <f>VLOOKUP($A77,'[1]2 2019 Data'!$C$7:$AB$237,1+'[1]3 Results'!C$4,FALSE)</f>
        <v>30012</v>
      </c>
      <c r="D77" s="10">
        <f>VLOOKUP($A77,'[1]2 2019 Data'!$C$7:$AB$237,1+'[1]3 Results'!D$4,FALSE)</f>
        <v>29896</v>
      </c>
      <c r="E77" s="10">
        <f>VLOOKUP($A77,'[1]2 2019 Data'!$C$7:$AB$237,1+'[1]3 Results'!E$4,FALSE)</f>
        <v>29531</v>
      </c>
      <c r="F77" s="10">
        <f>VLOOKUP($A77,'[1]2 2019 Data'!$C$7:$AB$237,1+'[1]3 Results'!F$4,FALSE)</f>
        <v>30167</v>
      </c>
      <c r="G77" s="10">
        <f>VLOOKUP($A77,'[1]2 2019 Data'!$C$7:$AB$237,1+'[1]3 Results'!G$4,FALSE)</f>
        <v>29719</v>
      </c>
      <c r="H77" s="10">
        <f>VLOOKUP($A77,'[1]2 2019 Data'!$C$7:$AB$237,1+'[1]3 Results'!H$4,FALSE)</f>
        <v>28783</v>
      </c>
      <c r="I77" s="10">
        <f>VLOOKUP($A77,'[1]2 2019 Data'!$C$7:$AB$237,1+'[1]3 Results'!I$4,FALSE)</f>
        <v>27800</v>
      </c>
      <c r="J77" s="10">
        <f>VLOOKUP($A77,'[1]2 2019 Data'!$C$7:$AB$237,1+'[1]3 Results'!J$4,FALSE)</f>
        <v>29032</v>
      </c>
      <c r="K77" s="10">
        <f>VLOOKUP($A77,'[1]2 2019 Data'!$C$7:$AB$237,1+'[1]3 Results'!K$4,FALSE)</f>
        <v>28275</v>
      </c>
      <c r="L77" s="10">
        <f>VLOOKUP($A77,'[1]2 2019 Data'!$C$7:$AB$237,1+'[1]3 Results'!L$4,FALSE)</f>
        <v>28025</v>
      </c>
      <c r="M77" s="10">
        <f>VLOOKUP($A77,'[1]2 2019 Data'!$C$7:$AB$237,1+'[1]3 Results'!M$4,FALSE)</f>
        <v>27775</v>
      </c>
      <c r="N77" s="10">
        <f>VLOOKUP($A77,'[1]2 2019 Data'!$C$7:$AB$237,1+'[1]3 Results'!N$4,FALSE)</f>
        <v>26686</v>
      </c>
      <c r="O77" s="10">
        <f>VLOOKUP($A77,'[1]2 2019 Data'!$C$7:$AB$237,1+'[1]3 Results'!O$4,FALSE)</f>
        <v>26861</v>
      </c>
      <c r="P77" s="10">
        <f>VLOOKUP($A77,'[1]2 2019 Data'!$C$7:$AB$237,1+'[1]3 Results'!P$4,FALSE)</f>
        <v>27062</v>
      </c>
      <c r="Q77" s="10">
        <f>VLOOKUP($A77,'[1]2 2019 Data'!$C$7:$AB$237,1+'[1]3 Results'!Q$4,FALSE)</f>
        <v>27105</v>
      </c>
      <c r="R77" s="10">
        <f>VLOOKUP($A77,'[1]2 2019 Data'!$C$7:$AB$237,1+'[1]3 Results'!R$4,FALSE)</f>
        <v>27297</v>
      </c>
      <c r="S77" s="10">
        <f>VLOOKUP($A77,'[1]2 2019 Data'!$C$7:$AB$237,1+'[1]3 Results'!S$4,FALSE)</f>
        <v>27100</v>
      </c>
      <c r="T77" s="10">
        <f>VLOOKUP($A77,'[1]2 2019 Data'!$C$7:$AB$237,1+'[1]3 Results'!T$4,FALSE)</f>
        <v>27358</v>
      </c>
    </row>
    <row r="78" spans="1:20" x14ac:dyDescent="0.35">
      <c r="B78">
        <v>2020</v>
      </c>
      <c r="C78" s="10">
        <f>VLOOKUP($A77,'[1]2 2020 Data'!$C$7:$AB$236,1+'[1]3 Results'!C$4,FALSE)</f>
        <v>30881</v>
      </c>
      <c r="D78" s="10">
        <f>VLOOKUP($A77,'[1]2 2020 Data'!$C$7:$AB$236,1+'[1]3 Results'!D$4,FALSE)</f>
        <v>30732</v>
      </c>
      <c r="E78" s="10">
        <f>VLOOKUP($A77,'[1]2 2020 Data'!$C$7:$AB$236,1+'[1]3 Results'!E$4,FALSE)</f>
        <v>29996</v>
      </c>
      <c r="F78" s="10">
        <f>VLOOKUP($A77,'[1]2 2020 Data'!$C$7:$AB$236,1+'[1]3 Results'!F$4,FALSE)</f>
        <v>30514</v>
      </c>
      <c r="G78" s="10">
        <f>VLOOKUP($A77,'[1]2 2020 Data'!$C$7:$AB$236,1+'[1]3 Results'!G$4,FALSE)</f>
        <v>30283</v>
      </c>
      <c r="H78" s="10">
        <f>VLOOKUP($A77,'[1]2 2020 Data'!$C$7:$AB$236,1+'[1]3 Results'!H$4,FALSE)</f>
        <v>30578</v>
      </c>
      <c r="I78" s="10">
        <f>VLOOKUP($A77,'[1]2 2020 Data'!$C$7:$AB$236,1+'[1]3 Results'!I$4,FALSE)</f>
        <v>30796</v>
      </c>
      <c r="J78" s="10">
        <f>VLOOKUP($A77,'[1]2 2020 Data'!$C$7:$AB$236,1+'[1]3 Results'!J$4,FALSE)</f>
        <v>30965</v>
      </c>
      <c r="K78" s="10">
        <f>VLOOKUP($A77,'[1]2 2020 Data'!$C$7:$AB$236,1+'[1]3 Results'!K$4,FALSE)</f>
        <v>31071</v>
      </c>
      <c r="L78" s="10">
        <f>VLOOKUP($A77,'[1]2 2020 Data'!$C$7:$AB$236,1+'[1]3 Results'!L$4,FALSE)</f>
        <v>30814</v>
      </c>
      <c r="M78" s="10">
        <f>VLOOKUP($A77,'[1]2 2020 Data'!$C$7:$AB$236,1+'[1]3 Results'!M$4,FALSE)</f>
        <v>30082</v>
      </c>
      <c r="N78" s="10">
        <f>VLOOKUP($A77,'[1]2 2020 Data'!$C$7:$AB$236,1+'[1]3 Results'!N$4,FALSE)</f>
        <v>27170</v>
      </c>
      <c r="O78" s="10">
        <f>VLOOKUP($A77,'[1]2 2020 Data'!$C$7:$AB$236,1+'[1]3 Results'!O$4,FALSE)</f>
        <v>8589</v>
      </c>
      <c r="P78" s="10">
        <f>VLOOKUP($A77,'[1]2 2020 Data'!$C$7:$AB$236,1+'[1]3 Results'!P$4,FALSE)</f>
        <v>7833</v>
      </c>
      <c r="Q78" s="10">
        <f>VLOOKUP($A77,'[1]2 2020 Data'!$C$7:$AB$236,1+'[1]3 Results'!Q$4,FALSE)</f>
        <v>5436</v>
      </c>
      <c r="R78" s="10">
        <f>VLOOKUP($A77,'[1]2 2020 Data'!$C$7:$AB$236,1+'[1]3 Results'!R$4,FALSE)</f>
        <v>3147</v>
      </c>
      <c r="S78" s="10">
        <f>VLOOKUP($A77,'[1]2 2020 Data'!$C$7:$AB$236,1+'[1]3 Results'!S$4,FALSE)</f>
        <v>1740</v>
      </c>
      <c r="T78" s="10">
        <f>VLOOKUP($A77,'[1]2 2020 Data'!$C$7:$AB$236,1+'[1]3 Results'!T$4,FALSE)</f>
        <v>2491</v>
      </c>
    </row>
    <row r="79" spans="1:20" x14ac:dyDescent="0.35">
      <c r="C79" s="11">
        <f>C78/C77-1</f>
        <v>2.8955084632813488E-2</v>
      </c>
      <c r="D79" s="11">
        <f t="shared" ref="D79:T79" si="27">D78/D77-1</f>
        <v>2.7963607171527904E-2</v>
      </c>
      <c r="E79" s="11">
        <f t="shared" si="27"/>
        <v>1.5746165046899963E-2</v>
      </c>
      <c r="F79" s="11">
        <f t="shared" si="27"/>
        <v>1.1502635329996291E-2</v>
      </c>
      <c r="G79" s="11">
        <f t="shared" si="27"/>
        <v>1.8977758336417683E-2</v>
      </c>
      <c r="H79" s="11">
        <f t="shared" si="27"/>
        <v>6.2363200500295424E-2</v>
      </c>
      <c r="I79" s="11">
        <f t="shared" si="27"/>
        <v>0.10776978417266192</v>
      </c>
      <c r="J79" s="11">
        <f t="shared" si="27"/>
        <v>6.6581702948470545E-2</v>
      </c>
      <c r="K79" s="11">
        <f t="shared" si="27"/>
        <v>9.8885941644562436E-2</v>
      </c>
      <c r="L79" s="11">
        <f t="shared" si="27"/>
        <v>9.9518287243532511E-2</v>
      </c>
      <c r="M79" s="11">
        <f t="shared" si="27"/>
        <v>8.3060306030602993E-2</v>
      </c>
      <c r="N79" s="11">
        <f t="shared" si="27"/>
        <v>1.8136850783182279E-2</v>
      </c>
      <c r="O79" s="11">
        <f t="shared" si="27"/>
        <v>-0.68024273109712974</v>
      </c>
      <c r="P79" s="11">
        <f t="shared" si="27"/>
        <v>-0.71055354371443347</v>
      </c>
      <c r="Q79" s="11">
        <f t="shared" si="27"/>
        <v>-0.79944659656889872</v>
      </c>
      <c r="R79" s="11">
        <f t="shared" si="27"/>
        <v>-0.88471260578085498</v>
      </c>
      <c r="S79" s="11">
        <f t="shared" si="27"/>
        <v>-0.93579335793357932</v>
      </c>
      <c r="T79" s="11">
        <f t="shared" si="27"/>
        <v>-0.90894802251626583</v>
      </c>
    </row>
    <row r="81" spans="1:20" x14ac:dyDescent="0.35">
      <c r="C81" s="7">
        <f>C$8</f>
        <v>43836</v>
      </c>
      <c r="D81" s="7">
        <f t="shared" ref="D81:T81" si="28">D$8</f>
        <v>43843</v>
      </c>
      <c r="E81" s="7">
        <f t="shared" si="28"/>
        <v>43850</v>
      </c>
      <c r="F81" s="7">
        <f t="shared" si="28"/>
        <v>43857</v>
      </c>
      <c r="G81" s="7">
        <f t="shared" si="28"/>
        <v>43864</v>
      </c>
      <c r="H81" s="7">
        <f t="shared" si="28"/>
        <v>43871</v>
      </c>
      <c r="I81" s="7">
        <f t="shared" si="28"/>
        <v>43878</v>
      </c>
      <c r="J81" s="7">
        <f t="shared" si="28"/>
        <v>43885</v>
      </c>
      <c r="K81" s="7">
        <f t="shared" si="28"/>
        <v>43892</v>
      </c>
      <c r="L81" s="7">
        <f t="shared" si="28"/>
        <v>43899</v>
      </c>
      <c r="M81" s="7">
        <f t="shared" si="28"/>
        <v>43906</v>
      </c>
      <c r="N81" s="7">
        <f t="shared" si="28"/>
        <v>43913</v>
      </c>
      <c r="O81" s="7">
        <f t="shared" si="28"/>
        <v>43920</v>
      </c>
      <c r="P81" s="7">
        <f t="shared" si="28"/>
        <v>43927</v>
      </c>
      <c r="Q81" s="7">
        <f t="shared" si="28"/>
        <v>43934</v>
      </c>
      <c r="R81" s="7">
        <f t="shared" si="28"/>
        <v>43941</v>
      </c>
      <c r="S81" s="7">
        <f t="shared" si="28"/>
        <v>43948</v>
      </c>
      <c r="T81" s="7">
        <f t="shared" si="28"/>
        <v>43955</v>
      </c>
    </row>
    <row r="82" spans="1:20" x14ac:dyDescent="0.35">
      <c r="A82" t="s">
        <v>19</v>
      </c>
      <c r="B82">
        <v>2019</v>
      </c>
      <c r="C82" s="10">
        <f>VLOOKUP($A82,'[1]2 2019 Data'!$C$7:$AB$237,1+'[1]3 Results'!C$4,FALSE)</f>
        <v>106621</v>
      </c>
      <c r="D82" s="10">
        <f>VLOOKUP($A82,'[1]2 2019 Data'!$C$7:$AB$237,1+'[1]3 Results'!D$4,FALSE)</f>
        <v>109024</v>
      </c>
      <c r="E82" s="10">
        <f>VLOOKUP($A82,'[1]2 2019 Data'!$C$7:$AB$237,1+'[1]3 Results'!E$4,FALSE)</f>
        <v>113547</v>
      </c>
      <c r="F82" s="10">
        <f>VLOOKUP($A82,'[1]2 2019 Data'!$C$7:$AB$237,1+'[1]3 Results'!F$4,FALSE)</f>
        <v>116147</v>
      </c>
      <c r="G82" s="10">
        <f>VLOOKUP($A82,'[1]2 2019 Data'!$C$7:$AB$237,1+'[1]3 Results'!G$4,FALSE)</f>
        <v>110053</v>
      </c>
      <c r="H82" s="10">
        <f>VLOOKUP($A82,'[1]2 2019 Data'!$C$7:$AB$237,1+'[1]3 Results'!H$4,FALSE)</f>
        <v>116368</v>
      </c>
      <c r="I82" s="10">
        <f>VLOOKUP($A82,'[1]2 2019 Data'!$C$7:$AB$237,1+'[1]3 Results'!I$4,FALSE)</f>
        <v>114363</v>
      </c>
      <c r="J82" s="10">
        <f>VLOOKUP($A82,'[1]2 2019 Data'!$C$7:$AB$237,1+'[1]3 Results'!J$4,FALSE)</f>
        <v>111622</v>
      </c>
      <c r="K82" s="10">
        <f>VLOOKUP($A82,'[1]2 2019 Data'!$C$7:$AB$237,1+'[1]3 Results'!K$4,FALSE)</f>
        <v>108105</v>
      </c>
      <c r="L82" s="10">
        <f>VLOOKUP($A82,'[1]2 2019 Data'!$C$7:$AB$237,1+'[1]3 Results'!L$4,FALSE)</f>
        <v>107255</v>
      </c>
      <c r="M82" s="10">
        <f>VLOOKUP($A82,'[1]2 2019 Data'!$C$7:$AB$237,1+'[1]3 Results'!M$4,FALSE)</f>
        <v>105151</v>
      </c>
      <c r="N82" s="10">
        <f>VLOOKUP($A82,'[1]2 2019 Data'!$C$7:$AB$237,1+'[1]3 Results'!N$4,FALSE)</f>
        <v>105193</v>
      </c>
      <c r="O82" s="10">
        <f>VLOOKUP($A82,'[1]2 2019 Data'!$C$7:$AB$237,1+'[1]3 Results'!O$4,FALSE)</f>
        <v>108927</v>
      </c>
      <c r="P82" s="10">
        <f>VLOOKUP($A82,'[1]2 2019 Data'!$C$7:$AB$237,1+'[1]3 Results'!P$4,FALSE)</f>
        <v>110945</v>
      </c>
      <c r="Q82" s="10">
        <f>VLOOKUP($A82,'[1]2 2019 Data'!$C$7:$AB$237,1+'[1]3 Results'!Q$4,FALSE)</f>
        <v>111152</v>
      </c>
      <c r="R82" s="10">
        <f>VLOOKUP($A82,'[1]2 2019 Data'!$C$7:$AB$237,1+'[1]3 Results'!R$4,FALSE)</f>
        <v>109834</v>
      </c>
      <c r="S82" s="10">
        <f>VLOOKUP($A82,'[1]2 2019 Data'!$C$7:$AB$237,1+'[1]3 Results'!S$4,FALSE)</f>
        <v>109887</v>
      </c>
      <c r="T82" s="10">
        <f>VLOOKUP($A82,'[1]2 2019 Data'!$C$7:$AB$237,1+'[1]3 Results'!T$4,FALSE)</f>
        <v>109471</v>
      </c>
    </row>
    <row r="83" spans="1:20" x14ac:dyDescent="0.35">
      <c r="B83">
        <v>2020</v>
      </c>
      <c r="C83" s="10">
        <f>VLOOKUP($A82,'[1]2 2020 Data'!$C$7:$AB$236,1+'[1]3 Results'!C$4,FALSE)</f>
        <v>114888</v>
      </c>
      <c r="D83" s="10">
        <f>VLOOKUP($A82,'[1]2 2020 Data'!$C$7:$AB$236,1+'[1]3 Results'!D$4,FALSE)</f>
        <v>118650</v>
      </c>
      <c r="E83" s="10">
        <f>VLOOKUP($A82,'[1]2 2020 Data'!$C$7:$AB$236,1+'[1]3 Results'!E$4,FALSE)</f>
        <v>115396</v>
      </c>
      <c r="F83" s="10">
        <f>VLOOKUP($A82,'[1]2 2020 Data'!$C$7:$AB$236,1+'[1]3 Results'!F$4,FALSE)</f>
        <v>115588</v>
      </c>
      <c r="G83" s="10">
        <f>VLOOKUP($A82,'[1]2 2020 Data'!$C$7:$AB$236,1+'[1]3 Results'!G$4,FALSE)</f>
        <v>85110</v>
      </c>
      <c r="H83" s="10">
        <f>VLOOKUP($A82,'[1]2 2020 Data'!$C$7:$AB$236,1+'[1]3 Results'!H$4,FALSE)</f>
        <v>42761</v>
      </c>
      <c r="I83" s="10">
        <f>VLOOKUP($A82,'[1]2 2020 Data'!$C$7:$AB$236,1+'[1]3 Results'!I$4,FALSE)</f>
        <v>33397</v>
      </c>
      <c r="J83" s="10">
        <f>VLOOKUP($A82,'[1]2 2020 Data'!$C$7:$AB$236,1+'[1]3 Results'!J$4,FALSE)</f>
        <v>42046</v>
      </c>
      <c r="K83" s="10">
        <f>VLOOKUP($A82,'[1]2 2020 Data'!$C$7:$AB$236,1+'[1]3 Results'!K$4,FALSE)</f>
        <v>63179</v>
      </c>
      <c r="L83" s="10">
        <f>VLOOKUP($A82,'[1]2 2020 Data'!$C$7:$AB$236,1+'[1]3 Results'!L$4,FALSE)</f>
        <v>61200</v>
      </c>
      <c r="M83" s="10">
        <f>VLOOKUP($A82,'[1]2 2020 Data'!$C$7:$AB$236,1+'[1]3 Results'!M$4,FALSE)</f>
        <v>64426</v>
      </c>
      <c r="N83" s="10">
        <f>VLOOKUP($A82,'[1]2 2020 Data'!$C$7:$AB$236,1+'[1]3 Results'!N$4,FALSE)</f>
        <v>65735</v>
      </c>
      <c r="O83" s="10">
        <f>VLOOKUP($A82,'[1]2 2020 Data'!$C$7:$AB$236,1+'[1]3 Results'!O$4,FALSE)</f>
        <v>61072</v>
      </c>
      <c r="P83" s="10">
        <f>VLOOKUP($A82,'[1]2 2020 Data'!$C$7:$AB$236,1+'[1]3 Results'!P$4,FALSE)</f>
        <v>59699</v>
      </c>
      <c r="Q83" s="10">
        <f>VLOOKUP($A82,'[1]2 2020 Data'!$C$7:$AB$236,1+'[1]3 Results'!Q$4,FALSE)</f>
        <v>63787</v>
      </c>
      <c r="R83" s="10">
        <f>VLOOKUP($A82,'[1]2 2020 Data'!$C$7:$AB$236,1+'[1]3 Results'!R$4,FALSE)</f>
        <v>63298</v>
      </c>
      <c r="S83" s="10">
        <f>VLOOKUP($A82,'[1]2 2020 Data'!$C$7:$AB$236,1+'[1]3 Results'!S$4,FALSE)</f>
        <v>66837</v>
      </c>
      <c r="T83" s="10">
        <f>VLOOKUP($A82,'[1]2 2020 Data'!$C$7:$AB$236,1+'[1]3 Results'!T$4,FALSE)</f>
        <v>74459</v>
      </c>
    </row>
    <row r="84" spans="1:20" x14ac:dyDescent="0.35">
      <c r="C84" s="11">
        <f>C83/C82-1</f>
        <v>7.7536320237101553E-2</v>
      </c>
      <c r="D84" s="11">
        <f t="shared" ref="D84:T84" si="29">D83/D82-1</f>
        <v>8.8292486058115571E-2</v>
      </c>
      <c r="E84" s="11">
        <f t="shared" si="29"/>
        <v>1.6284005742115637E-2</v>
      </c>
      <c r="F84" s="11">
        <f t="shared" si="29"/>
        <v>-4.8128664537181454E-3</v>
      </c>
      <c r="G84" s="11">
        <f t="shared" si="29"/>
        <v>-0.22664534360717103</v>
      </c>
      <c r="H84" s="11">
        <f t="shared" si="29"/>
        <v>-0.63253643613364496</v>
      </c>
      <c r="I84" s="11">
        <f t="shared" si="29"/>
        <v>-0.70797373276321895</v>
      </c>
      <c r="J84" s="11">
        <f t="shared" si="29"/>
        <v>-0.62331798390998183</v>
      </c>
      <c r="K84" s="11">
        <f t="shared" si="29"/>
        <v>-0.41557744785162576</v>
      </c>
      <c r="L84" s="11">
        <f t="shared" si="29"/>
        <v>-0.42939723089832638</v>
      </c>
      <c r="M84" s="11">
        <f t="shared" si="29"/>
        <v>-0.38730016832935488</v>
      </c>
      <c r="N84" s="11">
        <f t="shared" si="29"/>
        <v>-0.37510100481971231</v>
      </c>
      <c r="O84" s="11">
        <f t="shared" si="29"/>
        <v>-0.43933092805273255</v>
      </c>
      <c r="P84" s="11">
        <f t="shared" si="29"/>
        <v>-0.46190454729821084</v>
      </c>
      <c r="Q84" s="11">
        <f t="shared" si="29"/>
        <v>-0.42612818482798331</v>
      </c>
      <c r="R84" s="11">
        <f t="shared" si="29"/>
        <v>-0.42369393812480649</v>
      </c>
      <c r="S84" s="11">
        <f t="shared" si="29"/>
        <v>-0.3917660869802615</v>
      </c>
      <c r="T84" s="11">
        <f t="shared" si="29"/>
        <v>-0.31982899580710877</v>
      </c>
    </row>
    <row r="86" spans="1:20" x14ac:dyDescent="0.35">
      <c r="C86" s="7">
        <f t="shared" ref="C86:T86" si="30">C$8</f>
        <v>43836</v>
      </c>
      <c r="D86" s="7">
        <f t="shared" si="30"/>
        <v>43843</v>
      </c>
      <c r="E86" s="7">
        <f t="shared" si="30"/>
        <v>43850</v>
      </c>
      <c r="F86" s="7">
        <f t="shared" si="30"/>
        <v>43857</v>
      </c>
      <c r="G86" s="7">
        <f t="shared" si="30"/>
        <v>43864</v>
      </c>
      <c r="H86" s="7">
        <f t="shared" si="30"/>
        <v>43871</v>
      </c>
      <c r="I86" s="7">
        <f t="shared" si="30"/>
        <v>43878</v>
      </c>
      <c r="J86" s="7">
        <f t="shared" si="30"/>
        <v>43885</v>
      </c>
      <c r="K86" s="7">
        <f t="shared" si="30"/>
        <v>43892</v>
      </c>
      <c r="L86" s="7">
        <f t="shared" si="30"/>
        <v>43899</v>
      </c>
      <c r="M86" s="7">
        <f t="shared" si="30"/>
        <v>43906</v>
      </c>
      <c r="N86" s="7">
        <f t="shared" si="30"/>
        <v>43913</v>
      </c>
      <c r="O86" s="7">
        <f t="shared" si="30"/>
        <v>43920</v>
      </c>
      <c r="P86" s="7">
        <f t="shared" si="30"/>
        <v>43927</v>
      </c>
      <c r="Q86" s="7">
        <f t="shared" si="30"/>
        <v>43934</v>
      </c>
      <c r="R86" s="7">
        <f t="shared" si="30"/>
        <v>43941</v>
      </c>
      <c r="S86" s="7">
        <f t="shared" si="30"/>
        <v>43948</v>
      </c>
      <c r="T86" s="7">
        <f t="shared" si="30"/>
        <v>43955</v>
      </c>
    </row>
    <row r="87" spans="1:20" x14ac:dyDescent="0.35">
      <c r="A87" t="s">
        <v>20</v>
      </c>
      <c r="B87">
        <v>2019</v>
      </c>
      <c r="C87" s="10">
        <f>VLOOKUP($A87,'[1]2 2019 Data'!$C$7:$AB$237,1+'[1]3 Results'!C$4,FALSE)</f>
        <v>21892</v>
      </c>
      <c r="D87" s="10">
        <f>VLOOKUP($A87,'[1]2 2019 Data'!$C$7:$AB$237,1+'[1]3 Results'!D$4,FALSE)</f>
        <v>21940</v>
      </c>
      <c r="E87" s="10">
        <f>VLOOKUP($A87,'[1]2 2019 Data'!$C$7:$AB$237,1+'[1]3 Results'!E$4,FALSE)</f>
        <v>22030</v>
      </c>
      <c r="F87" s="10">
        <f>VLOOKUP($A87,'[1]2 2019 Data'!$C$7:$AB$237,1+'[1]3 Results'!F$4,FALSE)</f>
        <v>22106</v>
      </c>
      <c r="G87" s="10">
        <f>VLOOKUP($A87,'[1]2 2019 Data'!$C$7:$AB$237,1+'[1]3 Results'!G$4,FALSE)</f>
        <v>22239</v>
      </c>
      <c r="H87" s="10">
        <f>VLOOKUP($A87,'[1]2 2019 Data'!$C$7:$AB$237,1+'[1]3 Results'!H$4,FALSE)</f>
        <v>22131</v>
      </c>
      <c r="I87" s="10">
        <f>VLOOKUP($A87,'[1]2 2019 Data'!$C$7:$AB$237,1+'[1]3 Results'!I$4,FALSE)</f>
        <v>22049</v>
      </c>
      <c r="J87" s="10">
        <f>VLOOKUP($A87,'[1]2 2019 Data'!$C$7:$AB$237,1+'[1]3 Results'!J$4,FALSE)</f>
        <v>22188</v>
      </c>
      <c r="K87" s="10">
        <f>VLOOKUP($A87,'[1]2 2019 Data'!$C$7:$AB$237,1+'[1]3 Results'!K$4,FALSE)</f>
        <v>22204</v>
      </c>
      <c r="L87" s="10">
        <f>VLOOKUP($A87,'[1]2 2019 Data'!$C$7:$AB$237,1+'[1]3 Results'!L$4,FALSE)</f>
        <v>22230</v>
      </c>
      <c r="M87" s="10">
        <f>VLOOKUP($A87,'[1]2 2019 Data'!$C$7:$AB$237,1+'[1]3 Results'!M$4,FALSE)</f>
        <v>22364</v>
      </c>
      <c r="N87" s="10">
        <f>VLOOKUP($A87,'[1]2 2019 Data'!$C$7:$AB$237,1+'[1]3 Results'!N$4,FALSE)</f>
        <v>22589</v>
      </c>
      <c r="O87" s="10">
        <f>VLOOKUP($A87,'[1]2 2019 Data'!$C$7:$AB$237,1+'[1]3 Results'!O$4,FALSE)</f>
        <v>22925</v>
      </c>
      <c r="P87" s="10">
        <f>VLOOKUP($A87,'[1]2 2019 Data'!$C$7:$AB$237,1+'[1]3 Results'!P$4,FALSE)</f>
        <v>22730</v>
      </c>
      <c r="Q87" s="10">
        <f>VLOOKUP($A87,'[1]2 2019 Data'!$C$7:$AB$237,1+'[1]3 Results'!Q$4,FALSE)</f>
        <v>22747</v>
      </c>
      <c r="R87" s="10">
        <f>VLOOKUP($A87,'[1]2 2019 Data'!$C$7:$AB$237,1+'[1]3 Results'!R$4,FALSE)</f>
        <v>22920</v>
      </c>
      <c r="S87" s="10">
        <f>VLOOKUP($A87,'[1]2 2019 Data'!$C$7:$AB$237,1+'[1]3 Results'!S$4,FALSE)</f>
        <v>23344</v>
      </c>
      <c r="T87" s="10">
        <f>VLOOKUP($A87,'[1]2 2019 Data'!$C$7:$AB$237,1+'[1]3 Results'!T$4,FALSE)</f>
        <v>22559</v>
      </c>
    </row>
    <row r="88" spans="1:20" x14ac:dyDescent="0.35">
      <c r="B88">
        <v>2020</v>
      </c>
      <c r="C88" s="10">
        <f>VLOOKUP($A87,'[1]2 2020 Data'!$C$7:$AB$236,1+'[1]3 Results'!C$4,FALSE)</f>
        <v>22466</v>
      </c>
      <c r="D88" s="10">
        <f>VLOOKUP($A87,'[1]2 2020 Data'!$C$7:$AB$236,1+'[1]3 Results'!D$4,FALSE)</f>
        <v>22434</v>
      </c>
      <c r="E88" s="10">
        <f>VLOOKUP($A87,'[1]2 2020 Data'!$C$7:$AB$236,1+'[1]3 Results'!E$4,FALSE)</f>
        <v>22595</v>
      </c>
      <c r="F88" s="10">
        <f>VLOOKUP($A87,'[1]2 2020 Data'!$C$7:$AB$236,1+'[1]3 Results'!F$4,FALSE)</f>
        <v>22564</v>
      </c>
      <c r="G88" s="10">
        <f>VLOOKUP($A87,'[1]2 2020 Data'!$C$7:$AB$236,1+'[1]3 Results'!G$4,FALSE)</f>
        <v>22066</v>
      </c>
      <c r="H88" s="10">
        <f>VLOOKUP($A87,'[1]2 2020 Data'!$C$7:$AB$236,1+'[1]3 Results'!H$4,FALSE)</f>
        <v>21423</v>
      </c>
      <c r="I88" s="10">
        <f>VLOOKUP($A87,'[1]2 2020 Data'!$C$7:$AB$236,1+'[1]3 Results'!I$4,FALSE)</f>
        <v>21040</v>
      </c>
      <c r="J88" s="10">
        <f>VLOOKUP($A87,'[1]2 2020 Data'!$C$7:$AB$236,1+'[1]3 Results'!J$4,FALSE)</f>
        <v>20954</v>
      </c>
      <c r="K88" s="10">
        <f>VLOOKUP($A87,'[1]2 2020 Data'!$C$7:$AB$236,1+'[1]3 Results'!K$4,FALSE)</f>
        <v>20523</v>
      </c>
      <c r="L88" s="10">
        <f>VLOOKUP($A87,'[1]2 2020 Data'!$C$7:$AB$236,1+'[1]3 Results'!L$4,FALSE)</f>
        <v>18906</v>
      </c>
      <c r="M88" s="10">
        <f>VLOOKUP($A87,'[1]2 2020 Data'!$C$7:$AB$236,1+'[1]3 Results'!M$4,FALSE)</f>
        <v>18063</v>
      </c>
      <c r="N88" s="10">
        <f>VLOOKUP($A87,'[1]2 2020 Data'!$C$7:$AB$236,1+'[1]3 Results'!N$4,FALSE)</f>
        <v>17103</v>
      </c>
      <c r="O88" s="10">
        <f>VLOOKUP($A87,'[1]2 2020 Data'!$C$7:$AB$236,1+'[1]3 Results'!O$4,FALSE)</f>
        <v>16532</v>
      </c>
      <c r="P88" s="10">
        <f>VLOOKUP($A87,'[1]2 2020 Data'!$C$7:$AB$236,1+'[1]3 Results'!P$4,FALSE)</f>
        <v>15451</v>
      </c>
      <c r="Q88" s="10">
        <f>VLOOKUP($A87,'[1]2 2020 Data'!$C$7:$AB$236,1+'[1]3 Results'!Q$4,FALSE)</f>
        <v>13633</v>
      </c>
      <c r="R88" s="10">
        <f>VLOOKUP($A87,'[1]2 2020 Data'!$C$7:$AB$236,1+'[1]3 Results'!R$4,FALSE)</f>
        <v>12749</v>
      </c>
      <c r="S88" s="10">
        <f>VLOOKUP($A87,'[1]2 2020 Data'!$C$7:$AB$236,1+'[1]3 Results'!S$4,FALSE)</f>
        <v>12925</v>
      </c>
      <c r="T88" s="10">
        <f>VLOOKUP($A87,'[1]2 2020 Data'!$C$7:$AB$236,1+'[1]3 Results'!T$4,FALSE)</f>
        <v>11950</v>
      </c>
    </row>
    <row r="89" spans="1:20" x14ac:dyDescent="0.35">
      <c r="C89" s="11">
        <f>C88/C87-1</f>
        <v>2.6219623606797082E-2</v>
      </c>
      <c r="D89" s="11">
        <f t="shared" ref="D89:T89" si="31">D88/D87-1</f>
        <v>2.2515952597994549E-2</v>
      </c>
      <c r="E89" s="11">
        <f t="shared" si="31"/>
        <v>2.5646845211075853E-2</v>
      </c>
      <c r="F89" s="11">
        <f t="shared" si="31"/>
        <v>2.0718357007147414E-2</v>
      </c>
      <c r="G89" s="11">
        <f t="shared" si="31"/>
        <v>-7.7791267592967062E-3</v>
      </c>
      <c r="H89" s="11">
        <f t="shared" si="31"/>
        <v>-3.1991324386607012E-2</v>
      </c>
      <c r="I89" s="11">
        <f t="shared" si="31"/>
        <v>-4.5761712549321931E-2</v>
      </c>
      <c r="J89" s="11">
        <f t="shared" si="31"/>
        <v>-5.5615648098071069E-2</v>
      </c>
      <c r="K89" s="11">
        <f t="shared" si="31"/>
        <v>-7.5707079805440447E-2</v>
      </c>
      <c r="L89" s="11">
        <f t="shared" si="31"/>
        <v>-0.14952766531713901</v>
      </c>
      <c r="M89" s="11">
        <f t="shared" si="31"/>
        <v>-0.19231801108925062</v>
      </c>
      <c r="N89" s="11">
        <f t="shared" si="31"/>
        <v>-0.24286156979060602</v>
      </c>
      <c r="O89" s="11">
        <f t="shared" si="31"/>
        <v>-0.27886586695747007</v>
      </c>
      <c r="P89" s="11">
        <f t="shared" si="31"/>
        <v>-0.32023757149142107</v>
      </c>
      <c r="Q89" s="11">
        <f t="shared" si="31"/>
        <v>-0.40066821998505298</v>
      </c>
      <c r="R89" s="11">
        <f t="shared" si="31"/>
        <v>-0.44376090750436303</v>
      </c>
      <c r="S89" s="11">
        <f t="shared" si="31"/>
        <v>-0.44632453735435229</v>
      </c>
      <c r="T89" s="11">
        <f t="shared" si="31"/>
        <v>-0.47027793785185512</v>
      </c>
    </row>
    <row r="93" spans="1:20" x14ac:dyDescent="0.35">
      <c r="C93" s="10"/>
      <c r="D93" s="10"/>
      <c r="E93" s="10"/>
      <c r="F93" s="10"/>
      <c r="G93" s="10"/>
      <c r="H93" s="10"/>
      <c r="I93" s="10"/>
      <c r="J93" s="10"/>
      <c r="K93" s="10"/>
      <c r="L93" s="12"/>
    </row>
    <row r="94" spans="1:20" x14ac:dyDescent="0.35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x14ac:dyDescent="0.35"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x14ac:dyDescent="0.35"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3:20" x14ac:dyDescent="0.35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3:20" x14ac:dyDescent="0.35"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103" spans="3:20" x14ac:dyDescent="0.35">
      <c r="C103" s="10"/>
      <c r="D103" s="10"/>
      <c r="E103" s="10"/>
      <c r="F103" s="10"/>
      <c r="G103" s="10"/>
      <c r="H103" s="10"/>
      <c r="I103" s="10"/>
      <c r="J103" s="10"/>
      <c r="K103" s="10"/>
      <c r="L103" s="12"/>
    </row>
    <row r="104" spans="3:20" x14ac:dyDescent="0.35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3:20" x14ac:dyDescent="0.35"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3:20" x14ac:dyDescent="0.35"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3:20" x14ac:dyDescent="0.35"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3:20" x14ac:dyDescent="0.35">
      <c r="C108" s="10"/>
      <c r="D108" s="10"/>
      <c r="E108" s="10"/>
      <c r="F108" s="10"/>
      <c r="G108" s="10"/>
      <c r="H108" s="10"/>
      <c r="I108" s="10"/>
      <c r="J108" s="10"/>
      <c r="K108" s="10"/>
      <c r="L108" s="12"/>
    </row>
    <row r="109" spans="3:20" x14ac:dyDescent="0.35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3:20" x14ac:dyDescent="0.35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3:20" x14ac:dyDescent="0.35"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3:20" x14ac:dyDescent="0.35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3:20" x14ac:dyDescent="0.35"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3:20" x14ac:dyDescent="0.35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3:20" x14ac:dyDescent="0.35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3:20" x14ac:dyDescent="0.35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3:20" x14ac:dyDescent="0.35"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3:20" x14ac:dyDescent="0.35"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3:20" x14ac:dyDescent="0.35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3:20" x14ac:dyDescent="0.35"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3:20" x14ac:dyDescent="0.35"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3:20" x14ac:dyDescent="0.35"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9" spans="3:20" x14ac:dyDescent="0.3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3:20" x14ac:dyDescent="0.35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3:20" x14ac:dyDescent="0.35"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3:20" x14ac:dyDescent="0.35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3:20" x14ac:dyDescent="0.35">
      <c r="C133" s="10"/>
      <c r="D133" s="10"/>
      <c r="E133" s="10"/>
      <c r="F133" s="10"/>
      <c r="G133" s="10"/>
      <c r="H133" s="10"/>
      <c r="I133" s="10"/>
      <c r="J133" s="10"/>
      <c r="K133" s="10"/>
      <c r="L133" s="12"/>
    </row>
    <row r="134" spans="3:20" x14ac:dyDescent="0.3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3:20" x14ac:dyDescent="0.35"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3:20" x14ac:dyDescent="0.35"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3:20" x14ac:dyDescent="0.35"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3:20" x14ac:dyDescent="0.35"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3:20" x14ac:dyDescent="0.3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3:20" x14ac:dyDescent="0.35"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3:20" x14ac:dyDescent="0.35"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3:20" x14ac:dyDescent="0.35"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3:20" x14ac:dyDescent="0.35">
      <c r="C143" s="10"/>
      <c r="D143" s="10"/>
      <c r="E143" s="10"/>
      <c r="F143" s="10"/>
      <c r="G143" s="10"/>
      <c r="H143" s="10"/>
      <c r="I143" s="10"/>
      <c r="J143" s="10"/>
      <c r="K143" s="10"/>
      <c r="L143" s="12"/>
    </row>
    <row r="144" spans="3:20" x14ac:dyDescent="0.35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3:20" x14ac:dyDescent="0.35"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3:20" x14ac:dyDescent="0.35"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3:20" x14ac:dyDescent="0.35"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3:20" x14ac:dyDescent="0.35">
      <c r="C148" s="10"/>
      <c r="D148" s="10"/>
      <c r="E148" s="10"/>
      <c r="F148" s="10"/>
      <c r="G148" s="10"/>
      <c r="H148" s="10"/>
      <c r="I148" s="10"/>
      <c r="J148" s="10"/>
      <c r="K148" s="10"/>
      <c r="L148" s="12"/>
    </row>
    <row r="149" spans="3:20" x14ac:dyDescent="0.35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3:20" x14ac:dyDescent="0.35"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3:20" x14ac:dyDescent="0.35"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3:20" x14ac:dyDescent="0.35"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3:20" x14ac:dyDescent="0.35"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spans="3:20" x14ac:dyDescent="0.35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3:20" x14ac:dyDescent="0.35"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3:20" x14ac:dyDescent="0.35"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3:20" x14ac:dyDescent="0.35"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3:20" x14ac:dyDescent="0.35"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3:20" x14ac:dyDescent="0.35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3:20" x14ac:dyDescent="0.35"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3:20" x14ac:dyDescent="0.35"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3:20" x14ac:dyDescent="0.35"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3:20" x14ac:dyDescent="0.35">
      <c r="C163" s="10"/>
      <c r="D163" s="10"/>
      <c r="E163" s="10"/>
      <c r="F163" s="10"/>
      <c r="G163" s="10"/>
      <c r="H163" s="10"/>
      <c r="I163" s="10"/>
      <c r="J163" s="10"/>
      <c r="K163" s="10"/>
      <c r="L163" s="12"/>
    </row>
    <row r="164" spans="3:20" x14ac:dyDescent="0.35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3:20" x14ac:dyDescent="0.35"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3:20" x14ac:dyDescent="0.35"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3:20" x14ac:dyDescent="0.35"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3:20" x14ac:dyDescent="0.35">
      <c r="C168" s="10"/>
      <c r="D168" s="10"/>
      <c r="E168" s="10"/>
      <c r="F168" s="10"/>
      <c r="G168" s="10"/>
      <c r="H168" s="10"/>
      <c r="I168" s="10"/>
      <c r="J168" s="10"/>
      <c r="K168" s="10"/>
      <c r="L168" s="12"/>
    </row>
    <row r="169" spans="3:20" x14ac:dyDescent="0.35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3:20" x14ac:dyDescent="0.35"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3:20" x14ac:dyDescent="0.35"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3:20" x14ac:dyDescent="0.35"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9" spans="3:20" x14ac:dyDescent="0.35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3:20" x14ac:dyDescent="0.35"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3:20" x14ac:dyDescent="0.35"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3:20" x14ac:dyDescent="0.35"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4" spans="3:20" x14ac:dyDescent="0.35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3:20" x14ac:dyDescent="0.35"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3:20" x14ac:dyDescent="0.35"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3:20" x14ac:dyDescent="0.35"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3:20" x14ac:dyDescent="0.35"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 spans="3:20" x14ac:dyDescent="0.35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3:20" x14ac:dyDescent="0.35"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3:20" x14ac:dyDescent="0.35"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3:20" x14ac:dyDescent="0.35"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4" spans="3:20" x14ac:dyDescent="0.35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3:20" x14ac:dyDescent="0.35"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3:20" x14ac:dyDescent="0.35"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3:20" x14ac:dyDescent="0.35"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9" spans="3:20" x14ac:dyDescent="0.35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3:20" x14ac:dyDescent="0.35"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3:20" x14ac:dyDescent="0.35"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3:20" x14ac:dyDescent="0.35"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4" spans="3:20" x14ac:dyDescent="0.35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3:20" x14ac:dyDescent="0.35"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3:20" x14ac:dyDescent="0.35"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3:20" x14ac:dyDescent="0.35"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14" spans="3:20" x14ac:dyDescent="0.35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3:20" x14ac:dyDescent="0.35"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3:20" x14ac:dyDescent="0.35"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3:20" x14ac:dyDescent="0.35"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9" spans="3:20" x14ac:dyDescent="0.35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3:20" x14ac:dyDescent="0.35"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3:20" x14ac:dyDescent="0.35"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3:20" x14ac:dyDescent="0.35"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4" spans="3:20" x14ac:dyDescent="0.35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3:20" x14ac:dyDescent="0.35"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3:20" x14ac:dyDescent="0.35"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3:20" x14ac:dyDescent="0.35"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</sheetData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D1E64528FDC4C82627C95A38D6985" ma:contentTypeVersion="12" ma:contentTypeDescription="Create a new document." ma:contentTypeScope="" ma:versionID="67d3cb858788906e309b7bda7d168b95">
  <xsd:schema xmlns:xsd="http://www.w3.org/2001/XMLSchema" xmlns:xs="http://www.w3.org/2001/XMLSchema" xmlns:p="http://schemas.microsoft.com/office/2006/metadata/properties" xmlns:ns2="903be783-787b-4547-9b0a-150583a00c18" xmlns:ns3="75fe8b76-0683-4a3a-bb4e-0e71958df12b" targetNamespace="http://schemas.microsoft.com/office/2006/metadata/properties" ma:root="true" ma:fieldsID="522a69a5208879e307ecdd3c4a55d417" ns2:_="" ns3:_="">
    <xsd:import namespace="903be783-787b-4547-9b0a-150583a00c18"/>
    <xsd:import namespace="75fe8b76-0683-4a3a-bb4e-0e71958df12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be783-787b-4547-9b0a-150583a00c1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e8b76-0683-4a3a-bb4e-0e71958df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9858EF-D2BA-4564-B364-6D4B4C1D7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3be783-787b-4547-9b0a-150583a00c18"/>
    <ds:schemaRef ds:uri="75fe8b76-0683-4a3a-bb4e-0e71958df1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C0E457-F683-471D-9A86-910397BA5F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E1C246-24F8-4CE1-8C8F-7CD71560335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03be783-787b-4547-9b0a-150583a00c18"/>
    <ds:schemaRef ds:uri="75fe8b76-0683-4a3a-bb4e-0e71958df12b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</dc:creator>
  <cp:lastModifiedBy>Davidson, Sue (OAG)</cp:lastModifiedBy>
  <dcterms:created xsi:type="dcterms:W3CDTF">2020-04-20T11:00:04Z</dcterms:created>
  <dcterms:modified xsi:type="dcterms:W3CDTF">2020-05-04T14:47:14Z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0x010100539D1E64528FDC4C82627C95A38D6985</vt:lpwstr>
  </property>
</Properties>
</file>